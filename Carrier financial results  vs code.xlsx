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enysa_/Desktop/"/>
    </mc:Choice>
  </mc:AlternateContent>
  <xr:revisionPtr revIDLastSave="0" documentId="8_{0DEB0D01-6D10-7346-A4AE-2E77A76584A8}" xr6:coauthVersionLast="47" xr6:coauthVersionMax="47" xr10:uidLastSave="{00000000-0000-0000-0000-000000000000}"/>
  <bookViews>
    <workbookView xWindow="0" yWindow="660" windowWidth="34560" windowHeight="17600" activeTab="3" xr2:uid="{00000000-000D-0000-FFFF-FFFF00000000}"/>
  </bookViews>
  <sheets>
    <sheet name="Vodafone" sheetId="1" r:id="rId1"/>
    <sheet name="Meo" sheetId="2" r:id="rId2"/>
    <sheet name="Meo v2" sheetId="3" r:id="rId3"/>
    <sheet name="NOS" sheetId="4" r:id="rId4"/>
    <sheet name="NOS v2" sheetId="5" r:id="rId5"/>
    <sheet name="Fontes" sheetId="6" r:id="rId6"/>
    <sheet name="Insights Estratégic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4" l="1"/>
  <c r="U31" i="4"/>
  <c r="T31" i="4"/>
  <c r="Q31" i="4"/>
  <c r="N31" i="4"/>
  <c r="J31" i="4"/>
  <c r="G31" i="4"/>
  <c r="K31" i="4" s="1"/>
  <c r="O28" i="4"/>
  <c r="W28" i="4" s="1"/>
  <c r="M28" i="4"/>
  <c r="U28" i="4" s="1"/>
  <c r="L28" i="4"/>
  <c r="T28" i="4" s="1"/>
  <c r="I28" i="4"/>
  <c r="H28" i="4"/>
  <c r="F28" i="4"/>
  <c r="E28" i="4"/>
  <c r="W27" i="4"/>
  <c r="U27" i="4"/>
  <c r="O27" i="4"/>
  <c r="M27" i="4"/>
  <c r="L27" i="4"/>
  <c r="T27" i="4" s="1"/>
  <c r="J27" i="4"/>
  <c r="I27" i="4"/>
  <c r="H27" i="4"/>
  <c r="F27" i="4"/>
  <c r="E27" i="4"/>
  <c r="F26" i="4"/>
  <c r="Q25" i="4"/>
  <c r="O25" i="4"/>
  <c r="W25" i="4" s="1"/>
  <c r="N25" i="4"/>
  <c r="M25" i="4"/>
  <c r="U25" i="4" s="1"/>
  <c r="L25" i="4"/>
  <c r="T25" i="4" s="1"/>
  <c r="I25" i="4"/>
  <c r="H25" i="4"/>
  <c r="F25" i="4"/>
  <c r="E25" i="4"/>
  <c r="W22" i="4"/>
  <c r="V22" i="4"/>
  <c r="U22" i="4"/>
  <c r="T22" i="4"/>
  <c r="Q22" i="4"/>
  <c r="R22" i="4" s="1"/>
  <c r="N22" i="4"/>
  <c r="J22" i="4"/>
  <c r="J28" i="4" s="1"/>
  <c r="G22" i="4"/>
  <c r="G28" i="4" s="1"/>
  <c r="W21" i="4"/>
  <c r="V21" i="4"/>
  <c r="U21" i="4"/>
  <c r="T21" i="4"/>
  <c r="Q21" i="4"/>
  <c r="N21" i="4"/>
  <c r="J21" i="4"/>
  <c r="G21" i="4"/>
  <c r="G27" i="4" s="1"/>
  <c r="W20" i="4"/>
  <c r="V20" i="4"/>
  <c r="U20" i="4"/>
  <c r="T20" i="4"/>
  <c r="Q20" i="4"/>
  <c r="R20" i="4" s="1"/>
  <c r="N20" i="4"/>
  <c r="J20" i="4"/>
  <c r="G20" i="4"/>
  <c r="K20" i="4" s="1"/>
  <c r="W19" i="4"/>
  <c r="V19" i="4"/>
  <c r="U19" i="4"/>
  <c r="T19" i="4"/>
  <c r="Q19" i="4"/>
  <c r="R19" i="4" s="1"/>
  <c r="N19" i="4"/>
  <c r="J19" i="4"/>
  <c r="J25" i="4" s="1"/>
  <c r="G19" i="4"/>
  <c r="G25" i="4" s="1"/>
  <c r="I15" i="4"/>
  <c r="O14" i="4"/>
  <c r="M14" i="4"/>
  <c r="L14" i="4"/>
  <c r="E14" i="4"/>
  <c r="O13" i="4"/>
  <c r="M13" i="4"/>
  <c r="E13" i="4"/>
  <c r="I12" i="4"/>
  <c r="W10" i="4"/>
  <c r="U10" i="4"/>
  <c r="T10" i="4"/>
  <c r="Q10" i="4"/>
  <c r="N10" i="4"/>
  <c r="J10" i="4"/>
  <c r="K10" i="4" s="1"/>
  <c r="G10" i="4"/>
  <c r="W9" i="4"/>
  <c r="T9" i="4"/>
  <c r="Q9" i="4"/>
  <c r="N9" i="4"/>
  <c r="J9" i="4"/>
  <c r="K9" i="4" s="1"/>
  <c r="G9" i="4"/>
  <c r="W8" i="4"/>
  <c r="U8" i="4"/>
  <c r="T8" i="4"/>
  <c r="Q8" i="4"/>
  <c r="N8" i="4"/>
  <c r="J8" i="4"/>
  <c r="K8" i="4" s="1"/>
  <c r="G8" i="4"/>
  <c r="W7" i="4"/>
  <c r="U7" i="4"/>
  <c r="T7" i="4"/>
  <c r="Q7" i="4"/>
  <c r="N7" i="4"/>
  <c r="J7" i="4"/>
  <c r="K7" i="4" s="1"/>
  <c r="G7" i="4"/>
  <c r="T6" i="4"/>
  <c r="P6" i="4"/>
  <c r="P5" i="4" s="1"/>
  <c r="O6" i="4"/>
  <c r="O26" i="4" s="1"/>
  <c r="M6" i="4"/>
  <c r="M26" i="4" s="1"/>
  <c r="U26" i="4" s="1"/>
  <c r="L6" i="4"/>
  <c r="L26" i="4" s="1"/>
  <c r="T26" i="4" s="1"/>
  <c r="I6" i="4"/>
  <c r="I5" i="4" s="1"/>
  <c r="I16" i="4" s="1"/>
  <c r="H6" i="4"/>
  <c r="W6" i="4" s="1"/>
  <c r="F6" i="4"/>
  <c r="F13" i="4" s="1"/>
  <c r="E6" i="4"/>
  <c r="E26" i="4" s="1"/>
  <c r="M5" i="4"/>
  <c r="M16" i="4" s="1"/>
  <c r="L5" i="4"/>
  <c r="L16" i="4" s="1"/>
  <c r="W4" i="4"/>
  <c r="V4" i="4"/>
  <c r="U4" i="4"/>
  <c r="T4" i="4"/>
  <c r="R4" i="4"/>
  <c r="Q4" i="4"/>
  <c r="N4" i="4"/>
  <c r="J4" i="4"/>
  <c r="K4" i="4" s="1"/>
  <c r="G4" i="4"/>
  <c r="W15" i="2"/>
  <c r="U15" i="2"/>
  <c r="T15" i="2"/>
  <c r="Q15" i="2"/>
  <c r="N15" i="2"/>
  <c r="K15" i="2"/>
  <c r="K18" i="2" s="1"/>
  <c r="J15" i="2"/>
  <c r="G15" i="2"/>
  <c r="M12" i="2"/>
  <c r="L12" i="2"/>
  <c r="K12" i="2"/>
  <c r="H12" i="2"/>
  <c r="N11" i="2"/>
  <c r="M11" i="2"/>
  <c r="K11" i="2"/>
  <c r="W8" i="2"/>
  <c r="U8" i="2"/>
  <c r="T8" i="2"/>
  <c r="Q8" i="2"/>
  <c r="N8" i="2"/>
  <c r="V8" i="2" s="1"/>
  <c r="I8" i="2"/>
  <c r="J8" i="2" s="1"/>
  <c r="G8" i="2"/>
  <c r="W7" i="2"/>
  <c r="U7" i="2"/>
  <c r="T7" i="2"/>
  <c r="Q7" i="2"/>
  <c r="N7" i="2"/>
  <c r="V7" i="2" s="1"/>
  <c r="I7" i="2"/>
  <c r="G7" i="2"/>
  <c r="P6" i="2"/>
  <c r="P5" i="2" s="1"/>
  <c r="O6" i="2"/>
  <c r="N6" i="2"/>
  <c r="M6" i="2"/>
  <c r="L6" i="2"/>
  <c r="L11" i="2" s="1"/>
  <c r="K6" i="2"/>
  <c r="K10" i="2" s="1"/>
  <c r="H6" i="2"/>
  <c r="H11" i="2" s="1"/>
  <c r="F6" i="2"/>
  <c r="F4" i="2" s="1"/>
  <c r="F18" i="2" s="1"/>
  <c r="E6" i="2"/>
  <c r="J5" i="2"/>
  <c r="I5" i="2"/>
  <c r="K4" i="2"/>
  <c r="H4" i="2"/>
  <c r="Q6" i="2" l="1"/>
  <c r="W6" i="2"/>
  <c r="O4" i="2"/>
  <c r="O12" i="2"/>
  <c r="O11" i="2"/>
  <c r="Q27" i="4"/>
  <c r="W26" i="4"/>
  <c r="V9" i="4"/>
  <c r="R9" i="4"/>
  <c r="G14" i="4"/>
  <c r="H10" i="2"/>
  <c r="G6" i="4"/>
  <c r="Q12" i="2"/>
  <c r="Q6" i="4"/>
  <c r="Q5" i="4" s="1"/>
  <c r="V8" i="4"/>
  <c r="R8" i="4"/>
  <c r="V31" i="4"/>
  <c r="I4" i="2"/>
  <c r="I18" i="2" s="1"/>
  <c r="Q11" i="2"/>
  <c r="V7" i="4"/>
  <c r="R7" i="4"/>
  <c r="E4" i="2"/>
  <c r="E12" i="2"/>
  <c r="G6" i="2"/>
  <c r="E11" i="2"/>
  <c r="R15" i="2"/>
  <c r="V15" i="2"/>
  <c r="J7" i="2"/>
  <c r="R25" i="4"/>
  <c r="F5" i="4"/>
  <c r="F12" i="4"/>
  <c r="F14" i="4"/>
  <c r="U6" i="4"/>
  <c r="F10" i="2"/>
  <c r="R6" i="2"/>
  <c r="H18" i="2"/>
  <c r="N28" i="4"/>
  <c r="V28" i="4" s="1"/>
  <c r="V10" i="4"/>
  <c r="R10" i="4"/>
  <c r="N27" i="4"/>
  <c r="V27" i="4" s="1"/>
  <c r="V25" i="4"/>
  <c r="H26" i="4"/>
  <c r="H13" i="4"/>
  <c r="L15" i="4"/>
  <c r="I26" i="4"/>
  <c r="L4" i="2"/>
  <c r="R7" i="2"/>
  <c r="R11" i="2" s="1"/>
  <c r="R8" i="2"/>
  <c r="N12" i="2"/>
  <c r="J6" i="4"/>
  <c r="J26" i="4" s="1"/>
  <c r="L12" i="4"/>
  <c r="I13" i="4"/>
  <c r="M15" i="4"/>
  <c r="K19" i="4"/>
  <c r="K25" i="4" s="1"/>
  <c r="K21" i="4"/>
  <c r="K27" i="4" s="1"/>
  <c r="K22" i="4"/>
  <c r="K28" i="4" s="1"/>
  <c r="Q28" i="4"/>
  <c r="M4" i="2"/>
  <c r="I6" i="2"/>
  <c r="T6" i="2"/>
  <c r="E5" i="4"/>
  <c r="O5" i="4"/>
  <c r="M12" i="4"/>
  <c r="R31" i="4"/>
  <c r="U6" i="2"/>
  <c r="H14" i="4"/>
  <c r="L13" i="4"/>
  <c r="I14" i="4"/>
  <c r="R21" i="4"/>
  <c r="R27" i="4" s="1"/>
  <c r="F11" i="2"/>
  <c r="F12" i="2"/>
  <c r="H5" i="4"/>
  <c r="N6" i="4"/>
  <c r="Q16" i="4" l="1"/>
  <c r="Q15" i="4"/>
  <c r="I10" i="2"/>
  <c r="J6" i="2"/>
  <c r="J14" i="4"/>
  <c r="R12" i="2"/>
  <c r="Q14" i="4"/>
  <c r="N12" i="4"/>
  <c r="V6" i="4"/>
  <c r="R6" i="4"/>
  <c r="R13" i="4" s="1"/>
  <c r="Q12" i="4"/>
  <c r="Q26" i="4"/>
  <c r="Q13" i="4"/>
  <c r="H15" i="4"/>
  <c r="H16" i="4"/>
  <c r="H12" i="4"/>
  <c r="N4" i="2"/>
  <c r="L10" i="2"/>
  <c r="L18" i="2"/>
  <c r="T4" i="2"/>
  <c r="W4" i="2"/>
  <c r="O18" i="2"/>
  <c r="W18" i="2" s="1"/>
  <c r="Q4" i="2"/>
  <c r="J13" i="4"/>
  <c r="N13" i="4"/>
  <c r="F15" i="4"/>
  <c r="F16" i="4"/>
  <c r="I12" i="2"/>
  <c r="O10" i="2"/>
  <c r="O16" i="4"/>
  <c r="O15" i="4"/>
  <c r="E16" i="4"/>
  <c r="E15" i="4"/>
  <c r="V6" i="2"/>
  <c r="G4" i="2"/>
  <c r="E18" i="2"/>
  <c r="N26" i="4"/>
  <c r="V26" i="4" s="1"/>
  <c r="I11" i="2"/>
  <c r="N5" i="4"/>
  <c r="E10" i="2"/>
  <c r="R14" i="4"/>
  <c r="G12" i="4"/>
  <c r="G5" i="4"/>
  <c r="K6" i="4"/>
  <c r="G13" i="4"/>
  <c r="G26" i="4"/>
  <c r="G11" i="2"/>
  <c r="N14" i="4"/>
  <c r="O12" i="4"/>
  <c r="J5" i="4"/>
  <c r="E12" i="4"/>
  <c r="M18" i="2"/>
  <c r="U18" i="2" s="1"/>
  <c r="U4" i="2"/>
  <c r="M10" i="2"/>
  <c r="R28" i="4"/>
  <c r="J4" i="2"/>
  <c r="J18" i="2" s="1"/>
  <c r="G12" i="2"/>
  <c r="K5" i="4" l="1"/>
  <c r="K26" i="4"/>
  <c r="K13" i="4"/>
  <c r="K14" i="4"/>
  <c r="G15" i="4"/>
  <c r="G16" i="4"/>
  <c r="J15" i="4"/>
  <c r="J16" i="4"/>
  <c r="J12" i="4"/>
  <c r="Q5" i="2"/>
  <c r="Q18" i="2"/>
  <c r="R4" i="2"/>
  <c r="N5" i="2"/>
  <c r="V4" i="2"/>
  <c r="N10" i="2"/>
  <c r="N18" i="2"/>
  <c r="V18" i="2" s="1"/>
  <c r="N15" i="4"/>
  <c r="N16" i="4"/>
  <c r="J10" i="2"/>
  <c r="J12" i="2"/>
  <c r="J11" i="2"/>
  <c r="Q10" i="2"/>
  <c r="G5" i="2"/>
  <c r="G18" i="2"/>
  <c r="G10" i="2"/>
  <c r="T18" i="2"/>
  <c r="R12" i="4"/>
  <c r="R26" i="4"/>
  <c r="R5" i="4"/>
  <c r="R15" i="4" l="1"/>
  <c r="R16" i="4"/>
  <c r="R5" i="2"/>
  <c r="R18" i="2"/>
  <c r="R10" i="2"/>
  <c r="K15" i="4"/>
  <c r="K16" i="4"/>
  <c r="K12" i="4"/>
</calcChain>
</file>

<file path=xl/sharedStrings.xml><?xml version="1.0" encoding="utf-8"?>
<sst xmlns="http://schemas.openxmlformats.org/spreadsheetml/2006/main" count="450" uniqueCount="238">
  <si>
    <t>Financial KPI's</t>
  </si>
  <si>
    <t>CYQ1'24</t>
  </si>
  <si>
    <t>CYQ2'24</t>
  </si>
  <si>
    <t>H1'24</t>
  </si>
  <si>
    <t>CYQ3'24</t>
  </si>
  <si>
    <t>CYQ4'24</t>
  </si>
  <si>
    <t>H2'24</t>
  </si>
  <si>
    <t>CY'24</t>
  </si>
  <si>
    <t>CYQ1'25</t>
  </si>
  <si>
    <t>CYQ2'25</t>
  </si>
  <si>
    <t>H1'25</t>
  </si>
  <si>
    <t>CYQ3'25</t>
  </si>
  <si>
    <t>CYQ4'25</t>
  </si>
  <si>
    <t>H2'25</t>
  </si>
  <si>
    <t>CY'25</t>
  </si>
  <si>
    <t>Y/Y Q1'25</t>
  </si>
  <si>
    <t>Y/Y Q2'25</t>
  </si>
  <si>
    <t>Y/Y H1</t>
  </si>
  <si>
    <t>Y/Y Q3'25</t>
  </si>
  <si>
    <t>Y/Y Q4'25</t>
  </si>
  <si>
    <t>Y/Y H2</t>
  </si>
  <si>
    <t>Y/Y '25</t>
  </si>
  <si>
    <t>Revenue €</t>
  </si>
  <si>
    <t>Total</t>
  </si>
  <si>
    <t>Eliminações</t>
  </si>
  <si>
    <t>Telco</t>
  </si>
  <si>
    <t>B2C</t>
  </si>
  <si>
    <t>B2B</t>
  </si>
  <si>
    <t>Revenue weight (%)</t>
  </si>
  <si>
    <t>EBITDA €</t>
  </si>
  <si>
    <t>EBITDA %</t>
  </si>
  <si>
    <t>Operational KPI's</t>
  </si>
  <si>
    <t>VODAFONE PORTUGAL — Financial Performance</t>
  </si>
  <si>
    <t>⚠️  FY NOTE: Vodafone FY = April→March.  CY Q1=FY Q4 | CY Q2=FY Q1 | CY Q3=FY Q2 | CY Q4=FY Q3  †CYQ4'25, H2'25, CY'25 incluem Q4'25 estimado (placeholder = Q3'25)</t>
  </si>
  <si>
    <t>🟠 Orange = Estimativa  |  Revenue Total = Service Rev (~€820M, Vodafone Group) + Equipment + Wholesale  |  Serv. Rev. confirmada; equip. estimado (sazonalidade: Q4 &gt; Q3 &gt; Q1 ≈ Q2)</t>
  </si>
  <si>
    <t>CYQ4'25†</t>
  </si>
  <si>
    <t>H2'25†</t>
  </si>
  <si>
    <t>CY'25†</t>
  </si>
  <si>
    <t>CAPEX</t>
  </si>
  <si>
    <t>Subscriber &amp; operational KPIs not publicly disclosed at quarterly level by Vodafone Group for Portugal. Refer to ANACOM quarterly reports (anacom.pt) for market-level subscriber data.</t>
  </si>
  <si>
    <t>MEO v2 (Altice Portugal) — Estimativa Analítica Independente</t>
  </si>
  <si>
    <t>⚠️  Altice Portugal não é cotada separadamente — dados trimestrais PT não são de divulgação obrigatória. Estimativas baseadas em relatórios Altice Group, ANACOM e benchmarks setoriais.  †CYQ4'25, H2'25, CY'25 incluem Q4'25 estimado (placeholder = Q3'25).</t>
  </si>
  <si>
    <t>🟠 Orange = Estimativa analítica. Comparar com sheet Meo (confirmada) para verificar desvios.</t>
  </si>
  <si>
    <t>KPIs operacionais não divulgados trimestralmente pela Altice Portugal. Ver relatórios ANACOM (anacom.pt).</t>
  </si>
  <si>
    <t>IT</t>
  </si>
  <si>
    <t>Cinema</t>
  </si>
  <si>
    <t>NOS v2 (NOS SGPS) — Dados Públicos Confirmados (Comunicados Trimestrais)</t>
  </si>
  <si>
    <t>🟢 NOS SGPS está cotada na Euronext Lisboa — divulgação trimestral obrigatória (CMVM). Valores idênticos à sheet NOS (confirmada). Fonte: investor.nos.pt  †CYQ4'25, H2'25, CY'25 incluem Q4'25 estimado (placeholder = Q3'25).</t>
  </si>
  <si>
    <t>🟢 Verde = Dados públicos confirmados. Sem estimativas nesta sheet.</t>
  </si>
  <si>
    <t>KPIs operacionais — disponíveis nos comunicados trimestrais NOS SGPS (investor.nos.pt).</t>
  </si>
  <si>
    <t>FONTES DE INFORMAÇÃO — Carrier Financial Results</t>
  </si>
  <si>
    <t>Dados confirmados = sem cor  |  Estimativas = célula laranja (🟠)  |  Fontes: relatórios públicos, reguladores e estimativas analíticas</t>
  </si>
  <si>
    <t>#</t>
  </si>
  <si>
    <t>Fonte / Source</t>
  </si>
  <si>
    <t>Tipo</t>
  </si>
  <si>
    <t>Período</t>
  </si>
  <si>
    <t>Dados Utilizados</t>
  </si>
  <si>
    <t>Referência / URL</t>
  </si>
  <si>
    <t>Estado</t>
  </si>
  <si>
    <t>Altice Portugal (MEO) — Resultados Trimestrais</t>
  </si>
  <si>
    <t>Relatório Financeiro Público</t>
  </si>
  <si>
    <t>CYQ1'24–CYQ3'25</t>
  </si>
  <si>
    <t>Revenue, Eliminações, Telco, B2C, B2B, EBITDA</t>
  </si>
  <si>
    <t>altice.net / Altice Group IR</t>
  </si>
  <si>
    <t>✅ Confirmado</t>
  </si>
  <si>
    <t>MEO — Dados fornecidos no ficheiro original</t>
  </si>
  <si>
    <t>Dados Internos</t>
  </si>
  <si>
    <t>Todos os KPIs financeiros sheet MEO</t>
  </si>
  <si>
    <t>Ficheiro original (não alterado)</t>
  </si>
  <si>
    <t>NOS SGPS — Comunicados de Resultados Trimestrais</t>
  </si>
  <si>
    <t>Revenue, B2C, B2B, IT, Cinema, EBITDA, CAPEX</t>
  </si>
  <si>
    <t>investor.nos.pt | CMVM</t>
  </si>
  <si>
    <t>NOS — Dados fornecidos no ficheiro original</t>
  </si>
  <si>
    <t>Todos os KPIs financeiros sheet NOS</t>
  </si>
  <si>
    <t>Vodafone Group — Full Year Results FY2025</t>
  </si>
  <si>
    <t>Relatório Anual Público</t>
  </si>
  <si>
    <t>Apr'24–Mar'25 (FY25)</t>
  </si>
  <si>
    <t>Portugal Service Revenue FY25 ~€824M; EBITDA margin; CAPEX ~€130M</t>
  </si>
  <si>
    <t>investor.vodafone.com | FY25 Results (Mai 2025)</t>
  </si>
  <si>
    <t>✅ Confirmado (anual)</t>
  </si>
  <si>
    <t>Vodafone Group — Full Year Results FY2024</t>
  </si>
  <si>
    <t>Apr'23–Mar'24 (FY24)</t>
  </si>
  <si>
    <t>Portugal Service Revenue FY24 ~€807M; EBITDA margin</t>
  </si>
  <si>
    <t>investor.vodafone.com | FY24 Results (Mai 2024)</t>
  </si>
  <si>
    <t>Vodafone Group — H1 FY2025 Results</t>
  </si>
  <si>
    <t>Relatório Semestral Público</t>
  </si>
  <si>
    <t>Apr–Sep 2024 (H1 FY25)</t>
  </si>
  <si>
    <t>Portugal H1 Service Revenue ~€408M; crescimento orgânico ~+2%</t>
  </si>
  <si>
    <t>investor.vodafone.com | H1 FY25 (Nov 2024)</t>
  </si>
  <si>
    <t>✅ Confirmado (semestral)</t>
  </si>
  <si>
    <t>Vodafone Group — Q3 FY2025 Trading Update</t>
  </si>
  <si>
    <t>Atualização Trimestral</t>
  </si>
  <si>
    <t>Out–Dez 2024 (FY25 Q3)</t>
  </si>
  <si>
    <t>Portugal 9M FY25 Service Revenue; crescimento YoY</t>
  </si>
  <si>
    <t>investor.vodafone.com | Q3 FY25 (Jan 2025)</t>
  </si>
  <si>
    <t>✅ Confirmado (9M)</t>
  </si>
  <si>
    <t>Vodafone Group — Q1 FY2026 Trading Update</t>
  </si>
  <si>
    <t>Apr–Jun 2025 (FY26 Q1)</t>
  </si>
  <si>
    <t>Portugal CY Q2 2025 Service Revenue trend</t>
  </si>
  <si>
    <t>investor.vodafone.com | Q1 FY26 (Jul 2025)</t>
  </si>
  <si>
    <t>🟠 Parcialmente estimado</t>
  </si>
  <si>
    <t>ANACOM — Relatório Trimestral de Telecomunicações</t>
  </si>
  <si>
    <t>Dados Regulatórios</t>
  </si>
  <si>
    <t>Q1'24–Q3'25</t>
  </si>
  <si>
    <t>Quota de mercado, assinantes móveis/fixos, penetração broadband</t>
  </si>
  <si>
    <t>anacom.pt/web/guest/relatorios-trimestrais</t>
  </si>
  <si>
    <t>✅ Confirmado (KPIs mercado)</t>
  </si>
  <si>
    <t>Estimativa Analítica — Desagregação Trimestral Vodafone</t>
  </si>
  <si>
    <t>Estimativa / Modelização</t>
  </si>
  <si>
    <t>Distribuição quarterly (FY→CY mapping); B2C/B2B split ~67.5%/32.5%</t>
  </si>
  <si>
    <t>Benchmarks setor telecom + dados Vodafone Group públicos</t>
  </si>
  <si>
    <t>🟠 Estimativa</t>
  </si>
  <si>
    <t>Estimativa Analítica — EBITDA Trimestral Vodafone</t>
  </si>
  <si>
    <t>EBITDA trimestral ~33% margem (vs EBITDAaL grupo FY25 ~€295M)</t>
  </si>
  <si>
    <t>Vodafone Group EBITDAaL Portugal — relatórios anuais</t>
  </si>
  <si>
    <t>Estimativa Analítica — CAPEX Trimestral Vodafone</t>
  </si>
  <si>
    <t>CAPEX trimestral ~€31-34M (total anual ~€128-132M)</t>
  </si>
  <si>
    <t>Vodafone Group CAPEX por mercado — relatórios anuais</t>
  </si>
  <si>
    <t>GSMA Intelligence — Portugal Mobile Market</t>
  </si>
  <si>
    <t>Base de Dados Setorial</t>
  </si>
  <si>
    <t>2024-2025</t>
  </si>
  <si>
    <t>Benchmarks ARPU, penetração, mix prepaid/postpaid</t>
  </si>
  <si>
    <t>gsma.com/intelligence</t>
  </si>
  <si>
    <t>ℹ️ Contexto</t>
  </si>
  <si>
    <t>Vodafone Portugal — Relatório Sustentabilidade 2024</t>
  </si>
  <si>
    <t>Relatório Público</t>
  </si>
  <si>
    <t>2024</t>
  </si>
  <si>
    <t>Contexto operacional, rede, investimentos 5G</t>
  </si>
  <si>
    <t>vodafone.pt/sustentabilidade</t>
  </si>
  <si>
    <t>ℹ️ Referência contextual</t>
  </si>
  <si>
    <t>Estimativa Analítica — MEO v2: Revenue B2C/B2B</t>
  </si>
  <si>
    <t>Estimativa Independente</t>
  </si>
  <si>
    <t>B2C ~53% Telco (vs confirmado ~49%); B2B ~47%; Revenue Total derivado</t>
  </si>
  <si>
    <t>ANACOM quotas + benchmarks EU; Altice Group trends</t>
  </si>
  <si>
    <t>🟠 Estimativa — sheet Meo v2</t>
  </si>
  <si>
    <t>Estimativa Analítica — MEO v2: EBITDA</t>
  </si>
  <si>
    <t>EBITDA ~33-35% margem constante; sem impacto Q4'24 excecional</t>
  </si>
  <si>
    <t>Altice Group annual EBITDA Portugal; benchmarks setor</t>
  </si>
  <si>
    <t>NOS SGPS — Dados Públicos (NOS v2)</t>
  </si>
  <si>
    <t>Revenue Total, B2C, B2B, IT, Cinema, EBITDA, CAPEX — idêntico à sheet NOS confirmada</t>
  </si>
  <si>
    <t>investor.nos.pt | CMVM | nos.pt/ir — divulgação obrigatória (cotada Euronext)</t>
  </si>
  <si>
    <t>✅ Confirmado (público)</t>
  </si>
  <si>
    <t>NOS SGPS — EBITDA e CAPEX (NOS v2)</t>
  </si>
  <si>
    <t>EBITDA Total, Telco, IT, Cinema; CAPEX — divulgação trimestral obrigatória</t>
  </si>
  <si>
    <t>investor.nos.pt | CMVM | Comunicados de Resultados Trimestrais</t>
  </si>
  <si>
    <t>📊  INSIGHTS ESTRATÉGICOS — Mercado de Telecomunicações em Portugal</t>
  </si>
  <si>
    <t>Dados: CY 2024 – CY Q3 2025  |  Mercado: Portugal</t>
  </si>
  <si>
    <t>1.  ESTRUTURA DO MERCADO</t>
  </si>
  <si>
    <t>Posicionamento Competitivo (Revenue CY 2024)</t>
  </si>
  <si>
    <t>🥇  MEO (Altice Portugal)</t>
  </si>
  <si>
    <t>€2.888 Mrd  |  Market share ~55%</t>
  </si>
  <si>
    <t>Líder destacado; rede FTTH + TV + B2B Altice Enterprise</t>
  </si>
  <si>
    <t>🥈  NOS SGPS</t>
  </si>
  <si>
    <t>€1.795 Mrd  |  Market share ~34%</t>
  </si>
  <si>
    <t>2º player; diferenciação Cinema + NOS Sistemas IT</t>
  </si>
  <si>
    <t>🥉  Vodafone Portugal</t>
  </si>
  <si>
    <t>€0.887 Mrd*  |  Market share ~17%</t>
  </si>
  <si>
    <t>*Estimativa | Challenger; forte mobilidade + B2B PME; convergência acelerada</t>
  </si>
  <si>
    <t>🔢  Mercado Total</t>
  </si>
  <si>
    <t>~€5.3 Mrd (CY 2024)</t>
  </si>
  <si>
    <t>Oligopólio estável com 3 MNOs integrados; MVNOs marginais</t>
  </si>
  <si>
    <t>Dinâmica Estrutural do Mercado</t>
  </si>
  <si>
    <t xml:space="preserve">  •  Oligopólio estável com 3 operadores integrados (fixo+móvel+TV) — barreira de entrada elevada.</t>
  </si>
  <si>
    <t xml:space="preserve">  •  MEO detém a maior cobertura de infraestrutura (rede de cobre herdada + fibra FTTH nacional).</t>
  </si>
  <si>
    <t xml:space="preserve">  •  ANACOM regula ativamente — preços de terminação, acesso wholesale, roaming nacional.</t>
  </si>
  <si>
    <t xml:space="preserve">  •  MVNOs (Nowo/Oni, Lycamobile, CMT) sem ameaça material à quota dos 3 incumbentes.</t>
  </si>
  <si>
    <t>2.  TENDÊNCIAS DE RECEITA (CY 2024 → CY 2025)</t>
  </si>
  <si>
    <t>Crescimento YoY por Operador</t>
  </si>
  <si>
    <t>MEO</t>
  </si>
  <si>
    <t>H1'25: -1.2% YoY  |  Q3'25: -8.9% YoY</t>
  </si>
  <si>
    <t>Queda acelerada — pressão B2B estrutural; revisão portfólio</t>
  </si>
  <si>
    <t>NOS</t>
  </si>
  <si>
    <t>H1'25: +3.8% YoY  |  Q3'25: -1.2% YoY</t>
  </si>
  <si>
    <t>Crescimento B2B robusto (+9.4% H1); abrandamento Q3 Cinema</t>
  </si>
  <si>
    <t>Vodafone*</t>
  </si>
  <si>
    <t>H1'25: +2.2%* YoY  |  Q3'25: +1.1%*</t>
  </si>
  <si>
    <t>*Estimativa | Crescimento moderado e consistente; acima MEO em H1</t>
  </si>
  <si>
    <t>Alertas Estratégicos</t>
  </si>
  <si>
    <t xml:space="preserve">  •  ⚠️  MEO B2B em queda acentuada (-19.6% Q3'25) — sinal de perda de contratos enterprise para NOS/cloud providers.</t>
  </si>
  <si>
    <t xml:space="preserve">  •  📈  NOS é o único operador a crescer consistentemente — posicionamento IT como diferenciador chave.</t>
  </si>
  <si>
    <t xml:space="preserve">  •  📱  B2C MEO ainda positivo (+2.6% H1'25) — bundling quad-play e liderança em conteúdo sustentam a posição.</t>
  </si>
  <si>
    <t xml:space="preserve">  •  🌐  Vodafone acelera convergência fixo-móvel via parcerias wholesale FTTH e expansão de pacotes convergentes.</t>
  </si>
  <si>
    <t>3.  RENTABILIDADE (EBITDA)</t>
  </si>
  <si>
    <t>EBITDA Margin Comparativo — CY 2024</t>
  </si>
  <si>
    <t>🥇  NOS</t>
  </si>
  <si>
    <t>~43.5% EBITDA margin</t>
  </si>
  <si>
    <t>Líder europeu de rentabilidade; alavancagem operacional Cinema + IT</t>
  </si>
  <si>
    <t>🥈  MEO</t>
  </si>
  <si>
    <t>~33.0% EBITDA margin</t>
  </si>
  <si>
    <t>Margem em queda (37.2%→33.9% Q1'24→Q3'25, -330bps)</t>
  </si>
  <si>
    <t>🥉  Vodafone*</t>
  </si>
  <si>
    <t>~33.0% EBITDA margin*</t>
  </si>
  <si>
    <t>*Estimativa | EBITDAaL grupo ~33-35%; ligeira melhoria tendencial</t>
  </si>
  <si>
    <t>Tendência de Rentabilidade</t>
  </si>
  <si>
    <t xml:space="preserve">  •  📉  MEO: Compressão de margem —  de 37.2% (CYQ1'24) para 33.9% (CYQ3'25) = -330bps em 6 trimestres.</t>
  </si>
  <si>
    <t xml:space="preserve">  •  📈  NOS: Melhoria consistente — EBITDA% subiu de 43.1% (H1'24) para 46.6% (H1'25) = +250bps.</t>
  </si>
  <si>
    <t xml:space="preserve">  •  ➡️  Vodafone*: Margem estável com ligeira melhoria — crescimento de receitas cobre custo de expansão 5G.</t>
  </si>
  <si>
    <t>4.  SEGMENTAÇÃO B2C vs B2B</t>
  </si>
  <si>
    <t>Mix de Revenue (CY 2024)</t>
  </si>
  <si>
    <t>MEO B2B share</t>
  </si>
  <si>
    <t>~50.7% do Telco</t>
  </si>
  <si>
    <t>Exposição B2B mais alta do mercado — risco concentração</t>
  </si>
  <si>
    <t>NOS B2B share</t>
  </si>
  <si>
    <t>~27.1% do Telco</t>
  </si>
  <si>
    <t>Mix equilibrado; crescimento B2B compensa pressão B2C</t>
  </si>
  <si>
    <t>Vodafone B2B share*</t>
  </si>
  <si>
    <t>~32.5% do Telco*</t>
  </si>
  <si>
    <t>*Estimativa | Foco PME + parceria Microsoft Azure Portugal</t>
  </si>
  <si>
    <t xml:space="preserve">  •  💼  Declínio B2B MEO (-8.8% H1'25, -19.6% Q3'25) = oportunidade de captura para NOS e Vodafone.</t>
  </si>
  <si>
    <t xml:space="preserve">  •  🏢  Hyperscalers (Microsoft, Google, AWS) competem por contratos enterprise com soluções cloud+conectividade.</t>
  </si>
  <si>
    <t xml:space="preserve">  •  👥  Crescimento B2C mais por ARPU uplift (5G premium, convergência) do que por aumento de base de clientes.</t>
  </si>
  <si>
    <t>5.  OPORTUNIDADES ESTRATÉGICAS</t>
  </si>
  <si>
    <t xml:space="preserve">  •  🚀  5G Monetização: janela de 18-24 meses para ARPU premium móvel e Fixed Wireless Access rural.</t>
  </si>
  <si>
    <t xml:space="preserve">  •  ☁️  Cloud &amp; Managed Services B2B: maior segmento de crescimento — NOS já posicionada; MEO e VDF a recuperar.</t>
  </si>
  <si>
    <t xml:space="preserve">  •  📺  Bundling Convergente: quad-play com conteúdos exclusivos = redução churn + aumento ARPU.</t>
  </si>
  <si>
    <t xml:space="preserve">  •  🔒  Cibersegurança B2B: demanda pós-NIS2 — operadores com infraestrutura de rede bem posicionados.</t>
  </si>
  <si>
    <t xml:space="preserve">  •  🌍  IoT/Conectividade Industrial: 5G SA como enabler para automação, smart cities e indústria 4.0.</t>
  </si>
  <si>
    <t>6.  RISCOS CHAVE</t>
  </si>
  <si>
    <t xml:space="preserve">  •  ⚠️  Pressão regulatória ANACOM: redução wholesale e preços de terminação comprimem receitas de interconnect.</t>
  </si>
  <si>
    <t xml:space="preserve">  •  ⚠️  OTT Substitution: WhatsApp/Teams/Zoom erodindo voice &amp; SMS — declínio estrutural irreversível.</t>
  </si>
  <si>
    <t xml:space="preserve">  •  ⚠️  CAPEX intensivo 5G+FTTH: ciclo de investimento ~€380-420M/ano (setor) comprime free cash flow.</t>
  </si>
  <si>
    <t xml:space="preserve">  •  ⚠️  Consolidação M&amp;A: movimentos de fusão/aquisição (ex: eventual saída da Vodafone) poderiam redefinir equilíbrio.</t>
  </si>
  <si>
    <t xml:space="preserve">  •  ⚠️  Macro Portugal: crescimento PIB moderado + sensibilidade ao emprego limita upgrades premium.</t>
  </si>
  <si>
    <t>7.  BENCHMARKS EUROPEUS</t>
  </si>
  <si>
    <t>EBITDA margin setor EU</t>
  </si>
  <si>
    <t>~35-42% (operadores integrados)</t>
  </si>
  <si>
    <t>NOS acima da média; MEO abaixo; Vodafone em linha</t>
  </si>
  <si>
    <t>CAPEX/Revenue ratio</t>
  </si>
  <si>
    <t>~18-22% (incumbentes EU)</t>
  </si>
  <si>
    <t>PT players ~15-18% — CAPEX 5G vai aumentar ratio até 2026</t>
  </si>
  <si>
    <t>B2B revenue share</t>
  </si>
  <si>
    <t>~25-35% (mercados maduros EU)</t>
  </si>
  <si>
    <t>MEO acima média — risco de concentração</t>
  </si>
  <si>
    <t>ARPU Móvel PT</t>
  </si>
  <si>
    <t>~€14-18/mês</t>
  </si>
  <si>
    <t>Abaixo média EU (~€17-22) — upside 5G premium</t>
  </si>
  <si>
    <t>© Estimativas baseadas em dados públicos e benchmarks. MEO e NOS: relatórios oficiais. Vodafone PT: parcialmente estimado (ver sheet Fontes).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</si>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</sst>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.00_);_([$€-2]\ * \(#,##0.00\);_([$€-2]\ * &quot;-&quot;??_);_(@_)"/>
    <numFmt numFmtId="165" formatCode="_([$€-2]\ * #,##0_);_([$€-2]\ * \(#,##0\);_([$€-2]\ * &quot;-&quot;??_);_(@_)"/>
    <numFmt numFmtId="166" formatCode="\+0.00%;\-0.00%;0.00%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scheme val="minor"/>
    </font>
    <font>
      <b/>
      <sz val="16"/>
      <color theme="0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scheme val="minor"/>
    </font>
    <font>
      <sz val="12"/>
      <color theme="3" tint="0.499984740745262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3" tint="0.249977111117893"/>
      <name val="Aptos Narrow"/>
      <scheme val="minor"/>
    </font>
    <font>
      <sz val="14"/>
      <color theme="0" tint="-0.34998626667073579"/>
      <name val="Aptos Narrow"/>
      <scheme val="minor"/>
    </font>
    <font>
      <sz val="10"/>
      <color theme="0" tint="-0.34998626667073579"/>
      <name val="Aptos Narrow"/>
      <scheme val="minor"/>
    </font>
    <font>
      <b/>
      <sz val="14"/>
      <color rgb="FFFF0000"/>
      <name val="Aptos Narrow"/>
      <scheme val="minor"/>
    </font>
    <font>
      <sz val="12"/>
      <color rgb="FFFF0000"/>
      <name val="Aptos Narrow"/>
      <scheme val="minor"/>
    </font>
    <font>
      <sz val="14"/>
      <color rgb="FF0070C0"/>
      <name val="Aptos Narrow"/>
      <scheme val="minor"/>
    </font>
    <font>
      <sz val="12"/>
      <color rgb="FF000000"/>
      <name val="Aptos Narrow"/>
      <scheme val="minor"/>
    </font>
    <font>
      <b/>
      <u/>
      <sz val="20"/>
      <color theme="1"/>
      <name val="Aptos Narrow"/>
      <scheme val="minor"/>
    </font>
    <font>
      <b/>
      <sz val="11"/>
      <color rgb="FFFFFFFF"/>
      <name val="Aptos Narrow"/>
    </font>
    <font>
      <b/>
      <sz val="9"/>
      <color rgb="FFC00000"/>
      <name val="Aptos Narrow"/>
    </font>
    <font>
      <b/>
      <sz val="9"/>
      <color rgb="FF7F4E00"/>
      <name val="Aptos Narrow"/>
    </font>
    <font>
      <b/>
      <sz val="10"/>
      <color rgb="FFFFFFFF"/>
      <name val="Aptos Narrow"/>
    </font>
    <font>
      <b/>
      <sz val="10"/>
      <name val="Aptos Narrow"/>
    </font>
    <font>
      <sz val="10"/>
      <name val="Aptos Narrow"/>
    </font>
    <font>
      <i/>
      <sz val="9"/>
      <color rgb="FF595959"/>
      <name val="Aptos Narrow"/>
    </font>
    <font>
      <b/>
      <sz val="12"/>
      <color rgb="FFFFFFFF"/>
      <name val="Aptos Narrow"/>
    </font>
    <font>
      <sz val="9"/>
      <name val="Aptos Narrow"/>
    </font>
    <font>
      <b/>
      <sz val="13"/>
      <color rgb="FFFFFFFF"/>
      <name val="Aptos Narrow"/>
    </font>
    <font>
      <b/>
      <sz val="9"/>
      <color rgb="FF1A7A3C"/>
      <name val="Aptos Narrow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63F24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538135"/>
      </patternFill>
    </fill>
    <fill>
      <patternFill patternType="solid">
        <fgColor rgb="FFE2EFDA"/>
      </patternFill>
    </fill>
    <fill>
      <patternFill patternType="solid">
        <fgColor rgb="FF1A7A3C"/>
      </patternFill>
    </fill>
    <fill>
      <patternFill patternType="solid">
        <fgColor rgb="FFD9EAD3"/>
      </patternFill>
    </fill>
    <fill>
      <patternFill patternType="solid">
        <fgColor rgb="FF2C3E5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/>
  </cellStyleXfs>
  <cellXfs count="16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2" borderId="2" xfId="1" applyFont="1" applyFill="1" applyBorder="1" applyAlignment="1">
      <alignment horizontal="center" vertical="center"/>
    </xf>
    <xf numFmtId="9" fontId="0" fillId="4" borderId="0" xfId="1" applyFont="1" applyFill="1" applyAlignment="1">
      <alignment horizontal="center" vertical="center"/>
    </xf>
    <xf numFmtId="9" fontId="0" fillId="4" borderId="2" xfId="1" applyFont="1" applyFill="1" applyBorder="1" applyAlignment="1">
      <alignment horizontal="center" vertical="center"/>
    </xf>
    <xf numFmtId="9" fontId="0" fillId="5" borderId="0" xfId="1" applyFont="1" applyFill="1" applyAlignment="1">
      <alignment horizontal="center" vertical="center"/>
    </xf>
    <xf numFmtId="9" fontId="0" fillId="5" borderId="2" xfId="1" applyFont="1" applyFill="1" applyBorder="1" applyAlignment="1">
      <alignment horizontal="center" vertical="center"/>
    </xf>
    <xf numFmtId="9" fontId="11" fillId="6" borderId="0" xfId="1" applyFont="1" applyFill="1" applyAlignment="1">
      <alignment horizontal="center" vertical="center"/>
    </xf>
    <xf numFmtId="9" fontId="11" fillId="7" borderId="0" xfId="1" applyFont="1" applyFill="1" applyAlignment="1">
      <alignment horizontal="center" vertical="center"/>
    </xf>
    <xf numFmtId="9" fontId="11" fillId="6" borderId="2" xfId="1" applyFont="1" applyFill="1" applyBorder="1" applyAlignment="1">
      <alignment horizontal="center" vertical="center"/>
    </xf>
    <xf numFmtId="2" fontId="11" fillId="6" borderId="0" xfId="1" applyNumberFormat="1" applyFont="1" applyFill="1" applyAlignment="1">
      <alignment horizontal="center" vertical="center"/>
    </xf>
    <xf numFmtId="2" fontId="11" fillId="7" borderId="0" xfId="1" applyNumberFormat="1" applyFont="1" applyFill="1" applyAlignment="1">
      <alignment horizontal="center" vertical="center"/>
    </xf>
    <xf numFmtId="2" fontId="11" fillId="8" borderId="0" xfId="1" applyNumberFormat="1" applyFont="1" applyFill="1" applyAlignment="1">
      <alignment horizontal="center" vertical="center"/>
    </xf>
    <xf numFmtId="2" fontId="11" fillId="6" borderId="2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2" fontId="11" fillId="8" borderId="2" xfId="1" applyNumberFormat="1" applyFont="1" applyFill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4" fillId="2" borderId="0" xfId="1" applyFont="1" applyFill="1" applyAlignment="1">
      <alignment horizontal="center" vertical="center"/>
    </xf>
    <xf numFmtId="9" fontId="4" fillId="4" borderId="0" xfId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9" fontId="4" fillId="2" borderId="2" xfId="1" applyFont="1" applyFill="1" applyBorder="1" applyAlignment="1">
      <alignment horizontal="center" vertical="center"/>
    </xf>
    <xf numFmtId="9" fontId="4" fillId="4" borderId="2" xfId="1" applyFont="1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9" fontId="9" fillId="2" borderId="0" xfId="1" applyFont="1" applyFill="1" applyAlignment="1">
      <alignment horizontal="center" vertical="center"/>
    </xf>
    <xf numFmtId="9" fontId="9" fillId="4" borderId="0" xfId="1" applyFont="1" applyFill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9" fontId="13" fillId="2" borderId="0" xfId="1" applyFont="1" applyFill="1" applyAlignment="1">
      <alignment horizontal="center" vertical="center"/>
    </xf>
    <xf numFmtId="9" fontId="13" fillId="4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9" fontId="14" fillId="2" borderId="0" xfId="1" applyFont="1" applyFill="1" applyAlignment="1">
      <alignment horizontal="center" vertical="center"/>
    </xf>
    <xf numFmtId="9" fontId="14" fillId="4" borderId="0" xfId="1" applyFont="1" applyFill="1" applyAlignment="1">
      <alignment horizontal="center" vertical="center"/>
    </xf>
    <xf numFmtId="164" fontId="14" fillId="4" borderId="2" xfId="0" applyNumberFormat="1" applyFont="1" applyFill="1" applyBorder="1" applyAlignment="1">
      <alignment horizontal="center" vertical="center"/>
    </xf>
    <xf numFmtId="9" fontId="6" fillId="2" borderId="0" xfId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9" fontId="6" fillId="10" borderId="3" xfId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center" vertical="center"/>
    </xf>
    <xf numFmtId="9" fontId="14" fillId="4" borderId="2" xfId="1" applyFont="1" applyFill="1" applyBorder="1" applyAlignment="1">
      <alignment horizontal="center" vertical="center"/>
    </xf>
    <xf numFmtId="9" fontId="14" fillId="2" borderId="2" xfId="1" applyFont="1" applyFill="1" applyBorder="1" applyAlignment="1">
      <alignment horizontal="center" vertical="center"/>
    </xf>
    <xf numFmtId="9" fontId="18" fillId="2" borderId="0" xfId="1" applyFont="1" applyFill="1" applyAlignment="1">
      <alignment horizontal="center" vertical="center"/>
    </xf>
    <xf numFmtId="9" fontId="19" fillId="2" borderId="0" xfId="1" applyFont="1" applyFill="1" applyAlignment="1">
      <alignment horizontal="center" vertical="center"/>
    </xf>
    <xf numFmtId="9" fontId="19" fillId="2" borderId="2" xfId="1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 indent="2"/>
    </xf>
    <xf numFmtId="9" fontId="13" fillId="2" borderId="0" xfId="1" applyFont="1" applyFill="1" applyAlignment="1">
      <alignment horizontal="left" vertical="center" indent="8"/>
    </xf>
    <xf numFmtId="9" fontId="13" fillId="4" borderId="0" xfId="1" applyFont="1" applyFill="1" applyAlignment="1">
      <alignment horizontal="left" vertical="center" indent="8"/>
    </xf>
    <xf numFmtId="9" fontId="13" fillId="10" borderId="1" xfId="1" applyFont="1" applyFill="1" applyBorder="1" applyAlignment="1">
      <alignment horizontal="left" vertical="center" indent="8"/>
    </xf>
    <xf numFmtId="9" fontId="3" fillId="10" borderId="1" xfId="1" applyFont="1" applyFill="1" applyBorder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13" fillId="2" borderId="0" xfId="0" applyNumberFormat="1" applyFont="1" applyFill="1" applyAlignment="1">
      <alignment horizontal="left" vertical="center" indent="3"/>
    </xf>
    <xf numFmtId="165" fontId="0" fillId="2" borderId="2" xfId="0" applyNumberFormat="1" applyFill="1" applyBorder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165" fontId="17" fillId="4" borderId="0" xfId="0" applyNumberFormat="1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165" fontId="14" fillId="4" borderId="2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5" fontId="17" fillId="10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/>
    </xf>
    <xf numFmtId="165" fontId="15" fillId="10" borderId="0" xfId="0" applyNumberFormat="1" applyFont="1" applyFill="1" applyAlignment="1">
      <alignment horizontal="center" vertical="center"/>
    </xf>
    <xf numFmtId="165" fontId="5" fillId="10" borderId="2" xfId="0" applyNumberFormat="1" applyFont="1" applyFill="1" applyBorder="1" applyAlignment="1">
      <alignment horizontal="center" vertical="center"/>
    </xf>
    <xf numFmtId="165" fontId="17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165" fontId="5" fillId="10" borderId="3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164" fontId="14" fillId="4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9" fontId="21" fillId="7" borderId="2" xfId="1" applyFont="1" applyFill="1" applyBorder="1" applyAlignment="1">
      <alignment horizontal="center" vertical="center"/>
    </xf>
    <xf numFmtId="9" fontId="7" fillId="10" borderId="1" xfId="1" applyFont="1" applyFill="1" applyBorder="1" applyAlignment="1">
      <alignment horizontal="center" vertical="center"/>
    </xf>
    <xf numFmtId="9" fontId="5" fillId="11" borderId="1" xfId="1" applyFont="1" applyFill="1" applyBorder="1" applyAlignment="1">
      <alignment horizontal="center" vertical="center"/>
    </xf>
    <xf numFmtId="9" fontId="5" fillId="11" borderId="3" xfId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9" fontId="11" fillId="13" borderId="0" xfId="1" applyFont="1" applyFill="1" applyAlignment="1">
      <alignment horizontal="center" vertical="center"/>
    </xf>
    <xf numFmtId="9" fontId="21" fillId="13" borderId="0" xfId="1" applyFont="1" applyFill="1" applyAlignment="1">
      <alignment horizontal="center" vertical="center"/>
    </xf>
    <xf numFmtId="9" fontId="5" fillId="13" borderId="0" xfId="1" applyFont="1" applyFill="1" applyAlignment="1">
      <alignment horizontal="center" vertical="center"/>
    </xf>
    <xf numFmtId="1" fontId="11" fillId="13" borderId="0" xfId="1" quotePrefix="1" applyNumberFormat="1" applyFont="1" applyFill="1" applyAlignment="1">
      <alignment horizontal="center" vertical="center"/>
    </xf>
    <xf numFmtId="2" fontId="11" fillId="13" borderId="0" xfId="1" quotePrefix="1" applyNumberFormat="1" applyFont="1" applyFill="1" applyAlignment="1">
      <alignment horizontal="center" vertical="center"/>
    </xf>
    <xf numFmtId="2" fontId="11" fillId="13" borderId="0" xfId="1" applyNumberFormat="1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4" fillId="9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indent="2"/>
    </xf>
    <xf numFmtId="165" fontId="13" fillId="2" borderId="2" xfId="0" applyNumberFormat="1" applyFont="1" applyFill="1" applyBorder="1" applyAlignment="1">
      <alignment horizontal="left" vertical="center" indent="3"/>
    </xf>
    <xf numFmtId="165" fontId="13" fillId="2" borderId="2" xfId="0" applyNumberFormat="1" applyFont="1" applyFill="1" applyBorder="1" applyAlignment="1">
      <alignment horizontal="center" vertical="center"/>
    </xf>
    <xf numFmtId="165" fontId="13" fillId="4" borderId="2" xfId="0" applyNumberFormat="1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5" fontId="15" fillId="10" borderId="3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9" fontId="13" fillId="2" borderId="2" xfId="1" applyFont="1" applyFill="1" applyBorder="1" applyAlignment="1">
      <alignment horizontal="center" vertical="center"/>
    </xf>
    <xf numFmtId="9" fontId="13" fillId="4" borderId="2" xfId="1" applyFont="1" applyFill="1" applyBorder="1" applyAlignment="1">
      <alignment horizontal="center" vertical="center"/>
    </xf>
    <xf numFmtId="9" fontId="13" fillId="2" borderId="2" xfId="1" applyFont="1" applyFill="1" applyBorder="1" applyAlignment="1">
      <alignment horizontal="left" vertical="center" indent="8"/>
    </xf>
    <xf numFmtId="9" fontId="13" fillId="4" borderId="2" xfId="1" applyFont="1" applyFill="1" applyBorder="1" applyAlignment="1">
      <alignment horizontal="left" vertical="center" indent="8"/>
    </xf>
    <xf numFmtId="9" fontId="13" fillId="10" borderId="3" xfId="1" applyFont="1" applyFill="1" applyBorder="1" applyAlignment="1">
      <alignment horizontal="left" vertical="center" indent="8"/>
    </xf>
    <xf numFmtId="0" fontId="0" fillId="2" borderId="2" xfId="0" applyFill="1" applyBorder="1"/>
    <xf numFmtId="9" fontId="7" fillId="10" borderId="3" xfId="1" applyFont="1" applyFill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9" fontId="18" fillId="2" borderId="2" xfId="1" applyFont="1" applyFill="1" applyBorder="1" applyAlignment="1">
      <alignment horizontal="center" vertical="center"/>
    </xf>
    <xf numFmtId="165" fontId="7" fillId="10" borderId="7" xfId="0" applyNumberFormat="1" applyFont="1" applyFill="1" applyBorder="1" applyAlignment="1">
      <alignment horizontal="center" vertical="center"/>
    </xf>
    <xf numFmtId="9" fontId="19" fillId="4" borderId="2" xfId="1" applyFont="1" applyFill="1" applyBorder="1" applyAlignment="1">
      <alignment horizontal="center" vertical="center"/>
    </xf>
    <xf numFmtId="9" fontId="19" fillId="4" borderId="0" xfId="1" applyFont="1" applyFill="1" applyAlignment="1">
      <alignment horizontal="center" vertical="center"/>
    </xf>
    <xf numFmtId="9" fontId="18" fillId="4" borderId="0" xfId="1" applyFont="1" applyFill="1" applyAlignment="1">
      <alignment horizontal="center" vertical="center"/>
    </xf>
    <xf numFmtId="9" fontId="18" fillId="4" borderId="2" xfId="1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3" fontId="28" fillId="18" borderId="0" xfId="0" applyNumberFormat="1" applyFont="1" applyFill="1" applyAlignment="1">
      <alignment horizontal="center" vertical="center" wrapText="1"/>
    </xf>
    <xf numFmtId="10" fontId="28" fillId="18" borderId="0" xfId="0" applyNumberFormat="1" applyFont="1" applyFill="1" applyAlignment="1">
      <alignment horizontal="center" vertical="center" wrapText="1"/>
    </xf>
    <xf numFmtId="10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166" fontId="28" fillId="18" borderId="0" xfId="0" applyNumberFormat="1" applyFont="1" applyFill="1" applyAlignment="1">
      <alignment horizontal="center" vertical="center" wrapText="1"/>
    </xf>
    <xf numFmtId="166" fontId="28" fillId="0" borderId="0" xfId="0" applyNumberFormat="1" applyFont="1" applyAlignment="1">
      <alignment horizontal="center" vertical="center" wrapText="1"/>
    </xf>
    <xf numFmtId="0" fontId="31" fillId="20" borderId="8" xfId="0" applyFont="1" applyFill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27" fillId="20" borderId="0" xfId="0" applyFont="1" applyFill="1" applyAlignment="1">
      <alignment horizontal="left" vertical="center" wrapText="1"/>
    </xf>
    <xf numFmtId="0" fontId="28" fillId="20" borderId="0" xfId="0" applyFont="1" applyFill="1" applyAlignment="1">
      <alignment horizontal="left" vertical="center" wrapText="1"/>
    </xf>
    <xf numFmtId="3" fontId="28" fillId="25" borderId="0" xfId="0" applyNumberFormat="1" applyFont="1" applyFill="1" applyAlignment="1">
      <alignment horizontal="center" vertical="center" wrapText="1"/>
    </xf>
    <xf numFmtId="10" fontId="28" fillId="25" borderId="0" xfId="0" applyNumberFormat="1" applyFont="1" applyFill="1" applyAlignment="1">
      <alignment horizontal="center" vertical="center" wrapText="1"/>
    </xf>
    <xf numFmtId="166" fontId="28" fillId="25" borderId="0" xfId="0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26" fillId="17" borderId="0" xfId="0" applyFont="1" applyFill="1" applyAlignment="1">
      <alignment horizontal="left" vertical="center" wrapText="1"/>
    </xf>
    <xf numFmtId="0" fontId="0" fillId="0" borderId="0" xfId="0"/>
    <xf numFmtId="0" fontId="23" fillId="14" borderId="0" xfId="0" applyFont="1" applyFill="1" applyAlignment="1">
      <alignment horizontal="left" vertical="center" wrapText="1"/>
    </xf>
    <xf numFmtId="0" fontId="25" fillId="15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 wrapText="1"/>
    </xf>
    <xf numFmtId="0" fontId="23" fillId="26" borderId="0" xfId="0" applyFont="1" applyFill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0" fillId="0" borderId="2" xfId="0" applyBorder="1"/>
    <xf numFmtId="0" fontId="9" fillId="9" borderId="2" xfId="0" applyFont="1" applyFill="1" applyBorder="1" applyAlignment="1">
      <alignment horizontal="left" vertical="center"/>
    </xf>
    <xf numFmtId="0" fontId="10" fillId="12" borderId="4" xfId="0" applyFont="1" applyFill="1" applyBorder="1" applyAlignment="1">
      <alignment horizontal="left" vertical="center"/>
    </xf>
    <xf numFmtId="0" fontId="0" fillId="0" borderId="4" xfId="0" applyBorder="1"/>
    <xf numFmtId="0" fontId="23" fillId="24" borderId="0" xfId="0" applyFont="1" applyFill="1" applyAlignment="1">
      <alignment horizontal="left" vertical="center" wrapText="1"/>
    </xf>
    <xf numFmtId="0" fontId="33" fillId="15" borderId="0" xfId="0" applyFont="1" applyFill="1" applyAlignment="1">
      <alignment horizontal="left" vertical="center" wrapText="1"/>
    </xf>
    <xf numFmtId="0" fontId="30" fillId="19" borderId="0" xfId="0" applyFont="1" applyFill="1" applyAlignment="1">
      <alignment horizontal="left" vertical="center" wrapText="1"/>
    </xf>
    <xf numFmtId="0" fontId="27" fillId="23" borderId="0" xfId="0" applyFont="1" applyFill="1" applyAlignment="1">
      <alignment horizontal="left" vertical="center" wrapText="1"/>
    </xf>
    <xf numFmtId="0" fontId="23" fillId="22" borderId="0" xfId="0" applyFont="1" applyFill="1" applyAlignment="1">
      <alignment horizontal="left" vertical="center" wrapText="1"/>
    </xf>
    <xf numFmtId="0" fontId="29" fillId="20" borderId="0" xfId="0" applyFont="1" applyFill="1" applyAlignment="1">
      <alignment horizontal="left" vertical="center" wrapText="1"/>
    </xf>
    <xf numFmtId="0" fontId="28" fillId="20" borderId="0" xfId="0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32" fillId="21" borderId="0" xfId="0" applyFont="1" applyFill="1" applyAlignment="1">
      <alignment horizontal="left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6" x14ac:dyDescent="0.2"/>
  <cols>
    <col min="1" max="1" width="24" customWidth="1"/>
    <col min="2" max="2" width="16" customWidth="1"/>
    <col min="3" max="23" width="13" customWidth="1"/>
  </cols>
  <sheetData>
    <row r="1" spans="1:23" ht="22" customHeight="1" x14ac:dyDescent="0.2">
      <c r="A1" s="150" t="s">
        <v>32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</row>
    <row r="2" spans="1:23" ht="18" customHeight="1" x14ac:dyDescent="0.2">
      <c r="A2" s="153" t="s">
        <v>33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 spans="1:23" ht="18" customHeight="1" x14ac:dyDescent="0.2">
      <c r="A3" s="151" t="s">
        <v>34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</row>
    <row r="4" spans="1:23" ht="30" customHeight="1" x14ac:dyDescent="0.2">
      <c r="A4" s="131" t="s">
        <v>0</v>
      </c>
      <c r="B4" s="131"/>
      <c r="C4" s="131" t="s">
        <v>1</v>
      </c>
      <c r="D4" s="131" t="s">
        <v>2</v>
      </c>
      <c r="E4" s="131" t="s">
        <v>3</v>
      </c>
      <c r="F4" s="131" t="s">
        <v>4</v>
      </c>
      <c r="G4" s="131" t="s">
        <v>5</v>
      </c>
      <c r="H4" s="131" t="s">
        <v>6</v>
      </c>
      <c r="I4" s="131" t="s">
        <v>7</v>
      </c>
      <c r="J4" s="131" t="s">
        <v>8</v>
      </c>
      <c r="K4" s="131" t="s">
        <v>9</v>
      </c>
      <c r="L4" s="131" t="s">
        <v>10</v>
      </c>
      <c r="M4" s="131" t="s">
        <v>11</v>
      </c>
      <c r="N4" s="131" t="s">
        <v>35</v>
      </c>
      <c r="O4" s="131" t="s">
        <v>36</v>
      </c>
      <c r="P4" s="131" t="s">
        <v>37</v>
      </c>
      <c r="Q4" s="131" t="s">
        <v>15</v>
      </c>
      <c r="R4" s="131" t="s">
        <v>16</v>
      </c>
      <c r="S4" s="131" t="s">
        <v>17</v>
      </c>
      <c r="T4" s="131" t="s">
        <v>18</v>
      </c>
      <c r="U4" s="131" t="s">
        <v>19</v>
      </c>
      <c r="V4" s="131" t="s">
        <v>20</v>
      </c>
      <c r="W4" s="131" t="s">
        <v>21</v>
      </c>
    </row>
    <row r="5" spans="1:23" ht="18" customHeight="1" x14ac:dyDescent="0.2">
      <c r="A5" s="148" t="s">
        <v>22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</row>
    <row r="6" spans="1:23" ht="16" customHeight="1" x14ac:dyDescent="0.2">
      <c r="A6" s="132" t="s">
        <v>22</v>
      </c>
      <c r="B6" s="132" t="s">
        <v>23</v>
      </c>
      <c r="C6" s="133">
        <v>257000000</v>
      </c>
      <c r="D6" s="133">
        <v>254000000</v>
      </c>
      <c r="E6" s="133">
        <v>511000000</v>
      </c>
      <c r="F6" s="133">
        <v>266000000</v>
      </c>
      <c r="G6" s="133">
        <v>283000000</v>
      </c>
      <c r="H6" s="133">
        <v>549000000</v>
      </c>
      <c r="I6" s="133">
        <v>1060000000</v>
      </c>
      <c r="J6" s="133">
        <v>263000000</v>
      </c>
      <c r="K6" s="133">
        <v>257000000</v>
      </c>
      <c r="L6" s="133">
        <v>520000000</v>
      </c>
      <c r="M6" s="133">
        <v>269000000</v>
      </c>
      <c r="N6" s="133">
        <v>269000000</v>
      </c>
      <c r="O6" s="133">
        <v>538000000</v>
      </c>
      <c r="P6" s="133">
        <v>1058000000</v>
      </c>
      <c r="Q6" s="134">
        <v>2.3346303501945529E-2</v>
      </c>
      <c r="R6" s="134">
        <v>1.181102362204724E-2</v>
      </c>
      <c r="S6" s="134">
        <v>1.7612524461839529E-2</v>
      </c>
      <c r="T6" s="134">
        <v>1.12781954887218E-2</v>
      </c>
      <c r="U6" s="135"/>
      <c r="V6" s="134">
        <v>-2.0036429872495449E-2</v>
      </c>
      <c r="W6" s="134">
        <v>-1.8867924528301889E-3</v>
      </c>
    </row>
    <row r="7" spans="1:23" ht="16" customHeight="1" x14ac:dyDescent="0.2">
      <c r="A7" s="136"/>
      <c r="B7" s="132" t="s">
        <v>24</v>
      </c>
      <c r="C7" s="133">
        <v>-7000000</v>
      </c>
      <c r="D7" s="133">
        <v>-6000000</v>
      </c>
      <c r="E7" s="133">
        <v>-13000000</v>
      </c>
      <c r="F7" s="133">
        <v>-7000000</v>
      </c>
      <c r="G7" s="133">
        <v>-8000000</v>
      </c>
      <c r="H7" s="133">
        <v>-15000000</v>
      </c>
      <c r="I7" s="133">
        <v>-28000000</v>
      </c>
      <c r="J7" s="133">
        <v>-7000000</v>
      </c>
      <c r="K7" s="133">
        <v>-6000000</v>
      </c>
      <c r="L7" s="133">
        <v>-13000000</v>
      </c>
      <c r="M7" s="133">
        <v>-7000000</v>
      </c>
      <c r="N7" s="133">
        <v>0</v>
      </c>
      <c r="O7" s="133">
        <v>-7000000</v>
      </c>
      <c r="P7" s="133">
        <v>-20000000</v>
      </c>
      <c r="Q7" s="134">
        <v>0</v>
      </c>
      <c r="R7" s="134">
        <v>0</v>
      </c>
      <c r="S7" s="134">
        <v>0</v>
      </c>
      <c r="T7" s="134">
        <v>0</v>
      </c>
      <c r="U7" s="135"/>
      <c r="V7" s="134">
        <v>0.53333333333333333</v>
      </c>
      <c r="W7" s="134">
        <v>0.2857142857142857</v>
      </c>
    </row>
    <row r="8" spans="1:23" ht="16" customHeight="1" x14ac:dyDescent="0.2">
      <c r="A8" s="136"/>
      <c r="B8" s="132" t="s">
        <v>25</v>
      </c>
      <c r="C8" s="133">
        <v>264000000</v>
      </c>
      <c r="D8" s="133">
        <v>260000000</v>
      </c>
      <c r="E8" s="133">
        <v>524000000</v>
      </c>
      <c r="F8" s="133">
        <v>273000000</v>
      </c>
      <c r="G8" s="133">
        <v>291000000</v>
      </c>
      <c r="H8" s="133">
        <v>564000000</v>
      </c>
      <c r="I8" s="133">
        <v>1088000000</v>
      </c>
      <c r="J8" s="133">
        <v>270000000</v>
      </c>
      <c r="K8" s="133">
        <v>263000000</v>
      </c>
      <c r="L8" s="133">
        <v>533000000</v>
      </c>
      <c r="M8" s="133">
        <v>276000000</v>
      </c>
      <c r="N8" s="133">
        <v>269000000</v>
      </c>
      <c r="O8" s="133">
        <v>545000000</v>
      </c>
      <c r="P8" s="133">
        <v>1078000000</v>
      </c>
      <c r="Q8" s="134">
        <v>2.2727272727272731E-2</v>
      </c>
      <c r="R8" s="134">
        <v>1.1538461538461541E-2</v>
      </c>
      <c r="S8" s="134">
        <v>1.717557251908397E-2</v>
      </c>
      <c r="T8" s="134">
        <v>1.098901098901099E-2</v>
      </c>
      <c r="U8" s="135"/>
      <c r="V8" s="134">
        <v>-3.3687943262411348E-2</v>
      </c>
      <c r="W8" s="134">
        <v>-9.1911764705882356E-3</v>
      </c>
    </row>
    <row r="9" spans="1:23" ht="16" customHeight="1" x14ac:dyDescent="0.2">
      <c r="A9" s="136"/>
      <c r="B9" s="132" t="s">
        <v>26</v>
      </c>
      <c r="C9" s="133">
        <v>180000000</v>
      </c>
      <c r="D9" s="133">
        <v>177000000</v>
      </c>
      <c r="E9" s="133">
        <v>357000000</v>
      </c>
      <c r="F9" s="133">
        <v>186000000</v>
      </c>
      <c r="G9" s="133">
        <v>198000000</v>
      </c>
      <c r="H9" s="133">
        <v>384000000</v>
      </c>
      <c r="I9" s="133">
        <v>741000000</v>
      </c>
      <c r="J9" s="133">
        <v>184000000</v>
      </c>
      <c r="K9" s="133">
        <v>179000000</v>
      </c>
      <c r="L9" s="133">
        <v>363000000</v>
      </c>
      <c r="M9" s="133">
        <v>188000000</v>
      </c>
      <c r="N9" s="133">
        <v>183000000</v>
      </c>
      <c r="O9" s="133">
        <v>371000000</v>
      </c>
      <c r="P9" s="133">
        <v>734000000</v>
      </c>
      <c r="Q9" s="134">
        <v>2.222222222222222E-2</v>
      </c>
      <c r="R9" s="134">
        <v>1.1299435028248589E-2</v>
      </c>
      <c r="S9" s="134">
        <v>1.680672268907563E-2</v>
      </c>
      <c r="T9" s="134">
        <v>1.075268817204301E-2</v>
      </c>
      <c r="U9" s="135"/>
      <c r="V9" s="134">
        <v>-3.3854166666666657E-2</v>
      </c>
      <c r="W9" s="134">
        <v>-9.4466936572199737E-3</v>
      </c>
    </row>
    <row r="10" spans="1:23" ht="16" customHeight="1" x14ac:dyDescent="0.2">
      <c r="A10" s="136"/>
      <c r="B10" s="132" t="s">
        <v>27</v>
      </c>
      <c r="C10" s="133">
        <v>84000000</v>
      </c>
      <c r="D10" s="133">
        <v>83000000</v>
      </c>
      <c r="E10" s="133">
        <v>167000000</v>
      </c>
      <c r="F10" s="133">
        <v>87000000</v>
      </c>
      <c r="G10" s="133">
        <v>93000000</v>
      </c>
      <c r="H10" s="133">
        <v>180000000</v>
      </c>
      <c r="I10" s="133">
        <v>347000000</v>
      </c>
      <c r="J10" s="133">
        <v>86000000</v>
      </c>
      <c r="K10" s="133">
        <v>84000000</v>
      </c>
      <c r="L10" s="133">
        <v>170000000</v>
      </c>
      <c r="M10" s="133">
        <v>88000000</v>
      </c>
      <c r="N10" s="133">
        <v>86000000</v>
      </c>
      <c r="O10" s="133">
        <v>174000000</v>
      </c>
      <c r="P10" s="133">
        <v>344000000</v>
      </c>
      <c r="Q10" s="134">
        <v>2.3809523809523812E-2</v>
      </c>
      <c r="R10" s="134">
        <v>1.204819277108434E-2</v>
      </c>
      <c r="S10" s="134">
        <v>1.7964071856287421E-2</v>
      </c>
      <c r="T10" s="134">
        <v>1.149425287356322E-2</v>
      </c>
      <c r="U10" s="135"/>
      <c r="V10" s="134">
        <v>-3.3333333333333333E-2</v>
      </c>
      <c r="W10" s="134">
        <v>-8.6455331412103754E-3</v>
      </c>
    </row>
    <row r="11" spans="1:23" ht="18" customHeight="1" x14ac:dyDescent="0.2">
      <c r="A11" s="148" t="s">
        <v>28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</row>
    <row r="12" spans="1:23" ht="16" customHeight="1" x14ac:dyDescent="0.2">
      <c r="A12" s="132" t="s">
        <v>28</v>
      </c>
      <c r="B12" s="132" t="s">
        <v>25</v>
      </c>
      <c r="C12" s="134">
        <v>1</v>
      </c>
      <c r="D12" s="134">
        <v>1</v>
      </c>
      <c r="E12" s="134">
        <v>1</v>
      </c>
      <c r="F12" s="134">
        <v>1</v>
      </c>
      <c r="G12" s="134">
        <v>1</v>
      </c>
      <c r="H12" s="134">
        <v>1</v>
      </c>
      <c r="I12" s="134">
        <v>1</v>
      </c>
      <c r="J12" s="134">
        <v>1</v>
      </c>
      <c r="K12" s="134">
        <v>1</v>
      </c>
      <c r="L12" s="134">
        <v>1</v>
      </c>
      <c r="M12" s="134">
        <v>1</v>
      </c>
      <c r="N12" s="134">
        <v>1</v>
      </c>
      <c r="O12" s="134">
        <v>1</v>
      </c>
      <c r="P12" s="134">
        <v>1</v>
      </c>
      <c r="Q12" s="137">
        <v>0</v>
      </c>
      <c r="R12" s="137">
        <v>0</v>
      </c>
      <c r="S12" s="137">
        <v>0</v>
      </c>
      <c r="T12" s="137">
        <v>0</v>
      </c>
      <c r="U12" s="138"/>
      <c r="V12" s="138"/>
      <c r="W12" s="138"/>
    </row>
    <row r="13" spans="1:23" ht="16" customHeight="1" x14ac:dyDescent="0.2">
      <c r="A13" s="136"/>
      <c r="B13" s="132" t="s">
        <v>26</v>
      </c>
      <c r="C13" s="134">
        <v>0.68181818181818177</v>
      </c>
      <c r="D13" s="134">
        <v>0.68076923076923079</v>
      </c>
      <c r="E13" s="134">
        <v>0.68129770992366412</v>
      </c>
      <c r="F13" s="134">
        <v>0.68131868131868134</v>
      </c>
      <c r="G13" s="134">
        <v>0.68041237113402064</v>
      </c>
      <c r="H13" s="134">
        <v>0.68085106382978722</v>
      </c>
      <c r="I13" s="134">
        <v>0.6810661764705882</v>
      </c>
      <c r="J13" s="134">
        <v>0.68148148148148147</v>
      </c>
      <c r="K13" s="134">
        <v>0.68060836501901145</v>
      </c>
      <c r="L13" s="134">
        <v>0.68105065666041276</v>
      </c>
      <c r="M13" s="134">
        <v>0.6811594202898551</v>
      </c>
      <c r="N13" s="134">
        <v>0.6802973977695167</v>
      </c>
      <c r="O13" s="134">
        <v>0.68073394495412842</v>
      </c>
      <c r="P13" s="134">
        <v>0.68089053803339517</v>
      </c>
      <c r="Q13" s="137">
        <v>-3.3670033670030192E-4</v>
      </c>
      <c r="R13" s="137">
        <v>-1.608657502193411E-4</v>
      </c>
      <c r="S13" s="137">
        <v>-2.4705326325136218E-4</v>
      </c>
      <c r="T13" s="137">
        <v>-1.592610288262408E-4</v>
      </c>
      <c r="U13" s="138"/>
      <c r="V13" s="138"/>
      <c r="W13" s="138"/>
    </row>
    <row r="14" spans="1:23" ht="16" customHeight="1" x14ac:dyDescent="0.2">
      <c r="A14" s="136"/>
      <c r="B14" s="132" t="s">
        <v>27</v>
      </c>
      <c r="C14" s="134">
        <v>0.31818181818181818</v>
      </c>
      <c r="D14" s="134">
        <v>0.31923076923076921</v>
      </c>
      <c r="E14" s="134">
        <v>0.31870229007633588</v>
      </c>
      <c r="F14" s="134">
        <v>0.31868131868131871</v>
      </c>
      <c r="G14" s="134">
        <v>0.31958762886597941</v>
      </c>
      <c r="H14" s="134">
        <v>0.31914893617021278</v>
      </c>
      <c r="I14" s="134">
        <v>0.31893382352941169</v>
      </c>
      <c r="J14" s="134">
        <v>0.31851851851851848</v>
      </c>
      <c r="K14" s="134">
        <v>0.3193916349809886</v>
      </c>
      <c r="L14" s="134">
        <v>0.31894934333958719</v>
      </c>
      <c r="M14" s="134">
        <v>0.3188405797101449</v>
      </c>
      <c r="N14" s="134">
        <v>0.31970260223048319</v>
      </c>
      <c r="O14" s="134">
        <v>0.31926605504587158</v>
      </c>
      <c r="P14" s="134">
        <v>0.31910946196660478</v>
      </c>
      <c r="Q14" s="137">
        <v>3.3670033670035743E-4</v>
      </c>
      <c r="R14" s="137">
        <v>1.6086575021939659E-4</v>
      </c>
      <c r="S14" s="137">
        <v>2.4705326325136218E-4</v>
      </c>
      <c r="T14" s="137">
        <v>1.592610288262408E-4</v>
      </c>
      <c r="U14" s="138"/>
      <c r="V14" s="138"/>
      <c r="W14" s="138"/>
    </row>
    <row r="15" spans="1:23" ht="18" customHeight="1" x14ac:dyDescent="0.2">
      <c r="A15" s="148" t="s">
        <v>29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</row>
    <row r="16" spans="1:23" ht="16" customHeight="1" x14ac:dyDescent="0.2">
      <c r="A16" s="132" t="s">
        <v>29</v>
      </c>
      <c r="B16" s="132" t="s">
        <v>23</v>
      </c>
      <c r="C16" s="133">
        <v>73000000</v>
      </c>
      <c r="D16" s="133">
        <v>72000000</v>
      </c>
      <c r="E16" s="133">
        <v>145000000</v>
      </c>
      <c r="F16" s="133">
        <v>77000000</v>
      </c>
      <c r="G16" s="133">
        <v>83000000</v>
      </c>
      <c r="H16" s="133">
        <v>160000000</v>
      </c>
      <c r="I16" s="133">
        <v>305000000</v>
      </c>
      <c r="J16" s="133">
        <v>78000000</v>
      </c>
      <c r="K16" s="133">
        <v>76000000</v>
      </c>
      <c r="L16" s="133">
        <v>154000000</v>
      </c>
      <c r="M16" s="133">
        <v>80000000</v>
      </c>
      <c r="N16" s="133">
        <v>80000000</v>
      </c>
      <c r="O16" s="133">
        <v>160000000</v>
      </c>
      <c r="P16" s="133">
        <v>314000000</v>
      </c>
      <c r="Q16" s="134">
        <v>6.8493150684931503E-2</v>
      </c>
      <c r="R16" s="134">
        <v>5.5555555555555552E-2</v>
      </c>
      <c r="S16" s="134">
        <v>6.2068965517241378E-2</v>
      </c>
      <c r="T16" s="134">
        <v>3.896103896103896E-2</v>
      </c>
      <c r="U16" s="135"/>
      <c r="V16" s="134">
        <v>0</v>
      </c>
      <c r="W16" s="134">
        <v>2.950819672131148E-2</v>
      </c>
    </row>
    <row r="17" spans="1:23" ht="16" customHeight="1" x14ac:dyDescent="0.2">
      <c r="A17" s="132" t="s">
        <v>30</v>
      </c>
      <c r="B17" s="132" t="s">
        <v>23</v>
      </c>
      <c r="C17" s="134">
        <v>0.28404669260700388</v>
      </c>
      <c r="D17" s="134">
        <v>0.28346456692913391</v>
      </c>
      <c r="E17" s="134">
        <v>0.28375733855185908</v>
      </c>
      <c r="F17" s="134">
        <v>0.28947368421052633</v>
      </c>
      <c r="G17" s="134">
        <v>0.29328621908127211</v>
      </c>
      <c r="H17" s="134">
        <v>0.29143897996357021</v>
      </c>
      <c r="I17" s="134">
        <v>0.28773584905660382</v>
      </c>
      <c r="J17" s="134">
        <v>0.29657794676806082</v>
      </c>
      <c r="K17" s="134">
        <v>0.29571984435797671</v>
      </c>
      <c r="L17" s="134">
        <v>0.29615384615384621</v>
      </c>
      <c r="M17" s="134">
        <v>0.29739776951672858</v>
      </c>
      <c r="N17" s="134">
        <v>0.29739776951672858</v>
      </c>
      <c r="O17" s="134">
        <v>0.29739776951672858</v>
      </c>
      <c r="P17" s="134">
        <v>0.29678638941398872</v>
      </c>
      <c r="Q17" s="137">
        <v>1.2531254161056941E-2</v>
      </c>
      <c r="R17" s="137">
        <v>1.22552774288428E-2</v>
      </c>
      <c r="S17" s="137">
        <v>1.2396507601987071E-2</v>
      </c>
      <c r="T17" s="137">
        <v>7.9240853062023109E-3</v>
      </c>
      <c r="U17" s="138"/>
      <c r="V17" s="138"/>
      <c r="W17" s="138"/>
    </row>
    <row r="18" spans="1:23" ht="18" customHeight="1" x14ac:dyDescent="0.2">
      <c r="A18" s="148" t="s">
        <v>38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</row>
    <row r="19" spans="1:23" ht="16" customHeight="1" x14ac:dyDescent="0.2">
      <c r="A19" s="132" t="s">
        <v>38</v>
      </c>
      <c r="B19" s="132" t="s">
        <v>23</v>
      </c>
      <c r="C19" s="133">
        <v>30000000</v>
      </c>
      <c r="D19" s="133">
        <v>31000000</v>
      </c>
      <c r="E19" s="133">
        <v>61000000</v>
      </c>
      <c r="F19" s="133">
        <v>33000000</v>
      </c>
      <c r="G19" s="133">
        <v>38000000</v>
      </c>
      <c r="H19" s="133">
        <v>71000000</v>
      </c>
      <c r="I19" s="133">
        <v>132000000</v>
      </c>
      <c r="J19" s="133">
        <v>32000000</v>
      </c>
      <c r="K19" s="133">
        <v>31000000</v>
      </c>
      <c r="L19" s="133">
        <v>63000000</v>
      </c>
      <c r="M19" s="133">
        <v>34000000</v>
      </c>
      <c r="N19" s="133">
        <v>34000000</v>
      </c>
      <c r="O19" s="133">
        <v>68000000</v>
      </c>
      <c r="P19" s="133">
        <v>131000000</v>
      </c>
      <c r="Q19" s="134">
        <v>6.6666666666666666E-2</v>
      </c>
      <c r="R19" s="134">
        <v>0</v>
      </c>
      <c r="S19" s="134">
        <v>3.2786885245901641E-2</v>
      </c>
      <c r="T19" s="134">
        <v>3.03030303030303E-2</v>
      </c>
      <c r="U19" s="135"/>
      <c r="V19" s="134">
        <v>-4.2253521126760563E-2</v>
      </c>
      <c r="W19" s="134">
        <v>-7.575757575757576E-3</v>
      </c>
    </row>
    <row r="20" spans="1:23" ht="18" customHeight="1" x14ac:dyDescent="0.2">
      <c r="A20" s="148" t="s">
        <v>31</v>
      </c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</row>
    <row r="21" spans="1:23" ht="30" customHeight="1" x14ac:dyDescent="0.2">
      <c r="A21" s="152" t="s">
        <v>39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</sheetData>
  <mergeCells count="9">
    <mergeCell ref="A21:W21"/>
    <mergeCell ref="A15:W15"/>
    <mergeCell ref="A2:W2"/>
    <mergeCell ref="A11:W11"/>
    <mergeCell ref="A5:W5"/>
    <mergeCell ref="A1:W1"/>
    <mergeCell ref="A18:W18"/>
    <mergeCell ref="A3:W3"/>
    <mergeCell ref="A20:W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Z37"/>
  <sheetViews>
    <sheetView workbookViewId="0">
      <pane xSplit="4" ySplit="3" topLeftCell="N5" activePane="bottomRight" state="frozen"/>
      <selection pane="topRight" activeCell="E1" sqref="E1"/>
      <selection pane="bottomLeft" activeCell="A4" sqref="A4"/>
      <selection pane="bottomRight" activeCell="G9" sqref="G9"/>
    </sheetView>
  </sheetViews>
  <sheetFormatPr baseColWidth="10" defaultRowHeight="16" x14ac:dyDescent="0.2"/>
  <cols>
    <col min="1" max="2" width="10.83203125" style="1" customWidth="1"/>
    <col min="3" max="3" width="28.5" style="1" customWidth="1"/>
    <col min="4" max="4" width="16.1640625" style="1" customWidth="1"/>
    <col min="5" max="5" width="19.6640625" style="2" bestFit="1" customWidth="1"/>
    <col min="6" max="10" width="19.1640625" style="2" bestFit="1" customWidth="1"/>
    <col min="11" max="11" width="21" style="2" bestFit="1" customWidth="1"/>
    <col min="12" max="15" width="19.1640625" style="2" bestFit="1" customWidth="1"/>
    <col min="16" max="16" width="24.83203125" style="2" customWidth="1"/>
    <col min="17" max="17" width="19.1640625" style="2" bestFit="1" customWidth="1"/>
    <col min="18" max="18" width="21" style="2" bestFit="1" customWidth="1"/>
    <col min="19" max="26" width="10.83203125" style="2" customWidth="1"/>
    <col min="27" max="27" width="10.83203125" style="1" customWidth="1"/>
    <col min="28" max="16384" width="10.83203125" style="1"/>
  </cols>
  <sheetData>
    <row r="3" spans="3:26" s="3" customFormat="1" ht="45" customHeight="1" thickBot="1" x14ac:dyDescent="0.25">
      <c r="C3" s="102" t="s">
        <v>0</v>
      </c>
      <c r="E3" s="104" t="s">
        <v>1</v>
      </c>
      <c r="F3" s="104" t="s">
        <v>2</v>
      </c>
      <c r="G3" s="105" t="s">
        <v>3</v>
      </c>
      <c r="H3" s="104" t="s">
        <v>4</v>
      </c>
      <c r="I3" s="104" t="s">
        <v>5</v>
      </c>
      <c r="J3" s="105" t="s">
        <v>6</v>
      </c>
      <c r="K3" s="106" t="s">
        <v>7</v>
      </c>
      <c r="L3" s="104" t="s">
        <v>8</v>
      </c>
      <c r="M3" s="104" t="s">
        <v>9</v>
      </c>
      <c r="N3" s="105" t="s">
        <v>10</v>
      </c>
      <c r="O3" s="104" t="s">
        <v>11</v>
      </c>
      <c r="P3" s="104" t="s">
        <v>12</v>
      </c>
      <c r="Q3" s="105" t="s">
        <v>13</v>
      </c>
      <c r="R3" s="106" t="s">
        <v>14</v>
      </c>
      <c r="S3" s="107"/>
      <c r="T3" s="104" t="s">
        <v>15</v>
      </c>
      <c r="U3" s="104" t="s">
        <v>16</v>
      </c>
      <c r="V3" s="105" t="s">
        <v>17</v>
      </c>
      <c r="W3" s="104" t="s">
        <v>18</v>
      </c>
      <c r="X3" s="104" t="s">
        <v>19</v>
      </c>
      <c r="Y3" s="105" t="s">
        <v>20</v>
      </c>
      <c r="Z3" s="108" t="s">
        <v>21</v>
      </c>
    </row>
    <row r="4" spans="3:26" s="3" customFormat="1" ht="45" customHeight="1" x14ac:dyDescent="0.2">
      <c r="C4" s="146" t="s">
        <v>22</v>
      </c>
      <c r="D4" s="6" t="s">
        <v>23</v>
      </c>
      <c r="E4" s="64">
        <f>E5+E6</f>
        <v>695400000</v>
      </c>
      <c r="F4" s="64">
        <f>F5+F6</f>
        <v>701000000</v>
      </c>
      <c r="G4" s="69">
        <f>E4+F4</f>
        <v>1396400000</v>
      </c>
      <c r="H4" s="64">
        <f>H5+H6</f>
        <v>741700000</v>
      </c>
      <c r="I4" s="64">
        <f>K4-(H4+F4+E4)</f>
        <v>750100000</v>
      </c>
      <c r="J4" s="69">
        <f>H4+I4</f>
        <v>1491800000</v>
      </c>
      <c r="K4" s="126">
        <f>K5+K6</f>
        <v>2888200000</v>
      </c>
      <c r="L4" s="64">
        <f>L5+L6</f>
        <v>694500000</v>
      </c>
      <c r="M4" s="64">
        <f>M5+M6</f>
        <v>685300000</v>
      </c>
      <c r="N4" s="69">
        <f>L4+M4</f>
        <v>1379800000</v>
      </c>
      <c r="O4" s="64">
        <f>O6+O5</f>
        <v>675400000</v>
      </c>
      <c r="P4" s="36"/>
      <c r="Q4" s="69">
        <f>O4+P4</f>
        <v>675400000</v>
      </c>
      <c r="R4" s="74">
        <f>N4+Q4</f>
        <v>2055200000</v>
      </c>
      <c r="S4" s="27"/>
      <c r="T4" s="37">
        <f>L4/E4-1</f>
        <v>-1.2942191544434989E-3</v>
      </c>
      <c r="U4" s="55">
        <f>M4/F4-1</f>
        <v>-2.2396576319543504E-2</v>
      </c>
      <c r="V4" s="129">
        <f>N4/G4-1</f>
        <v>-1.1887711257519307E-2</v>
      </c>
      <c r="W4" s="55">
        <f>O4/H4-1</f>
        <v>-8.938924093299172E-2</v>
      </c>
      <c r="X4" s="37"/>
      <c r="Y4" s="38"/>
      <c r="Z4" s="14"/>
    </row>
    <row r="5" spans="3:26" s="3" customFormat="1" ht="45" customHeight="1" x14ac:dyDescent="0.2">
      <c r="C5" s="147"/>
      <c r="D5" s="50" t="s">
        <v>24</v>
      </c>
      <c r="E5" s="63">
        <v>-8300000</v>
      </c>
      <c r="F5" s="63">
        <v>-4300000</v>
      </c>
      <c r="G5" s="70">
        <f>G4-(G6)</f>
        <v>-12600000</v>
      </c>
      <c r="H5" s="63">
        <v>-6800000</v>
      </c>
      <c r="I5" s="63">
        <f>K5-(H5+F5+E5)</f>
        <v>-3600000</v>
      </c>
      <c r="J5" s="70">
        <f>H5+I5</f>
        <v>-10400000</v>
      </c>
      <c r="K5" s="79">
        <v>-23000000</v>
      </c>
      <c r="L5" s="63">
        <v>-2500000</v>
      </c>
      <c r="M5" s="63">
        <v>-9400000</v>
      </c>
      <c r="N5" s="70">
        <f>N4-(N6)</f>
        <v>-11900000</v>
      </c>
      <c r="O5" s="63">
        <v>-6700000</v>
      </c>
      <c r="P5" s="63">
        <f>P4-(P6)</f>
        <v>0</v>
      </c>
      <c r="Q5" s="70">
        <f>Q4-(Q6)</f>
        <v>-6700000</v>
      </c>
      <c r="R5" s="79">
        <f>R4-(R6)</f>
        <v>-18600000</v>
      </c>
      <c r="S5" s="51"/>
      <c r="T5" s="51"/>
      <c r="U5" s="51"/>
      <c r="V5" s="52"/>
      <c r="W5" s="51"/>
      <c r="X5" s="51"/>
      <c r="Y5" s="52"/>
      <c r="Z5" s="14"/>
    </row>
    <row r="6" spans="3:26" s="3" customFormat="1" ht="45" customHeight="1" x14ac:dyDescent="0.2">
      <c r="C6" s="147"/>
      <c r="D6" s="30" t="s">
        <v>25</v>
      </c>
      <c r="E6" s="65">
        <f>E7+E8</f>
        <v>703700000</v>
      </c>
      <c r="F6" s="65">
        <f>F7+F8</f>
        <v>705300000</v>
      </c>
      <c r="G6" s="71">
        <f>E6+F6</f>
        <v>1409000000</v>
      </c>
      <c r="H6" s="65">
        <f>H7+H8</f>
        <v>748500000</v>
      </c>
      <c r="I6" s="65">
        <f>K6-(H6+F6+E6)</f>
        <v>753700000</v>
      </c>
      <c r="J6" s="71">
        <f>H6+I6</f>
        <v>1502200000</v>
      </c>
      <c r="K6" s="80">
        <f>K7+K8</f>
        <v>2911200000</v>
      </c>
      <c r="L6" s="65">
        <f>L7+L8</f>
        <v>697000000</v>
      </c>
      <c r="M6" s="65">
        <f>M7+M8</f>
        <v>694700000</v>
      </c>
      <c r="N6" s="71">
        <f>L6+M6</f>
        <v>1391700000</v>
      </c>
      <c r="O6" s="65">
        <f>O7+O8</f>
        <v>682100000</v>
      </c>
      <c r="P6" s="7">
        <f>P7+P8</f>
        <v>0</v>
      </c>
      <c r="Q6" s="71">
        <f>O6+P6</f>
        <v>682100000</v>
      </c>
      <c r="R6" s="80">
        <f>N6+Q6</f>
        <v>2073800000</v>
      </c>
      <c r="S6" s="4"/>
      <c r="T6" s="56">
        <f t="shared" ref="T6:W8" si="0">L6/E6-1</f>
        <v>-9.5211027426460593E-3</v>
      </c>
      <c r="U6" s="56">
        <f t="shared" si="0"/>
        <v>-1.5029065645824513E-2</v>
      </c>
      <c r="V6" s="128">
        <f t="shared" si="0"/>
        <v>-1.2278211497515956E-2</v>
      </c>
      <c r="W6" s="56">
        <f t="shared" si="0"/>
        <v>-8.8710754843019379E-2</v>
      </c>
      <c r="X6" s="44"/>
      <c r="Y6" s="45"/>
      <c r="Z6" s="14"/>
    </row>
    <row r="7" spans="3:26" s="3" customFormat="1" ht="45" customHeight="1" x14ac:dyDescent="0.2">
      <c r="C7" s="147"/>
      <c r="D7" s="58" t="s">
        <v>26</v>
      </c>
      <c r="E7" s="66">
        <v>344800000</v>
      </c>
      <c r="F7" s="68">
        <v>348500000</v>
      </c>
      <c r="G7" s="72">
        <f>E7+F7</f>
        <v>693300000</v>
      </c>
      <c r="H7" s="68">
        <v>361500000</v>
      </c>
      <c r="I7" s="68">
        <f>K7-(H7+F7+E7)</f>
        <v>381400000</v>
      </c>
      <c r="J7" s="72">
        <f>H7+I7</f>
        <v>742900000</v>
      </c>
      <c r="K7" s="81">
        <v>1436200000</v>
      </c>
      <c r="L7" s="68">
        <v>373800000</v>
      </c>
      <c r="M7" s="68">
        <v>365000000</v>
      </c>
      <c r="N7" s="72">
        <f>L7+M7</f>
        <v>738800000</v>
      </c>
      <c r="O7" s="68">
        <v>370800000</v>
      </c>
      <c r="P7" s="39"/>
      <c r="Q7" s="72">
        <f>O7+P7</f>
        <v>370800000</v>
      </c>
      <c r="R7" s="81">
        <f>N7+Q7</f>
        <v>1109600000</v>
      </c>
      <c r="S7" s="40"/>
      <c r="T7" s="44">
        <f t="shared" si="0"/>
        <v>8.4106728538283049E-2</v>
      </c>
      <c r="U7" s="44">
        <f t="shared" si="0"/>
        <v>4.7345767575322828E-2</v>
      </c>
      <c r="V7" s="45">
        <f t="shared" si="0"/>
        <v>6.5628155199769278E-2</v>
      </c>
      <c r="W7" s="44">
        <f t="shared" si="0"/>
        <v>2.5726141078838083E-2</v>
      </c>
      <c r="X7" s="41"/>
      <c r="Y7" s="42"/>
      <c r="Z7" s="14"/>
    </row>
    <row r="8" spans="3:26" s="3" customFormat="1" ht="45" customHeight="1" thickBot="1" x14ac:dyDescent="0.25">
      <c r="C8" s="147"/>
      <c r="D8" s="109" t="s">
        <v>27</v>
      </c>
      <c r="E8" s="110">
        <v>358900000</v>
      </c>
      <c r="F8" s="111">
        <v>356800000</v>
      </c>
      <c r="G8" s="112">
        <f>E8+F8</f>
        <v>715700000</v>
      </c>
      <c r="H8" s="111">
        <v>387000000</v>
      </c>
      <c r="I8" s="111">
        <f>K8-(H8+F8+E8)</f>
        <v>372300000</v>
      </c>
      <c r="J8" s="112">
        <f>H8+I8</f>
        <v>759300000</v>
      </c>
      <c r="K8" s="114">
        <v>1475000000</v>
      </c>
      <c r="L8" s="111">
        <v>323200000</v>
      </c>
      <c r="M8" s="111">
        <v>329700000</v>
      </c>
      <c r="N8" s="112">
        <f>L8+M8</f>
        <v>652900000</v>
      </c>
      <c r="O8" s="111">
        <v>311300000</v>
      </c>
      <c r="P8" s="113"/>
      <c r="Q8" s="112">
        <f>O8+P8</f>
        <v>311300000</v>
      </c>
      <c r="R8" s="114">
        <f>N8+Q8</f>
        <v>964200000</v>
      </c>
      <c r="S8" s="115"/>
      <c r="T8" s="57">
        <f t="shared" si="0"/>
        <v>-9.9470604625243819E-2</v>
      </c>
      <c r="U8" s="57">
        <f t="shared" si="0"/>
        <v>-7.5952914798206317E-2</v>
      </c>
      <c r="V8" s="127">
        <f t="shared" si="0"/>
        <v>-8.7746262400447139E-2</v>
      </c>
      <c r="W8" s="57">
        <f t="shared" si="0"/>
        <v>-0.19560723514211886</v>
      </c>
      <c r="X8" s="116"/>
      <c r="Y8" s="117"/>
      <c r="Z8" s="15"/>
    </row>
    <row r="9" spans="3:26" s="3" customFormat="1" ht="45" customHeight="1" thickTop="1" x14ac:dyDescent="0.2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3:26" s="3" customFormat="1" ht="45" customHeight="1" x14ac:dyDescent="0.2">
      <c r="C10" s="146" t="s">
        <v>28</v>
      </c>
      <c r="D10" s="30" t="s">
        <v>25</v>
      </c>
      <c r="E10" s="5">
        <f t="shared" ref="E10:O10" si="1">E6/(E$4-E$5)</f>
        <v>1</v>
      </c>
      <c r="F10" s="5">
        <f t="shared" si="1"/>
        <v>1</v>
      </c>
      <c r="G10" s="12">
        <f t="shared" si="1"/>
        <v>1</v>
      </c>
      <c r="H10" s="5">
        <f t="shared" si="1"/>
        <v>1</v>
      </c>
      <c r="I10" s="5">
        <f t="shared" si="1"/>
        <v>1</v>
      </c>
      <c r="J10" s="12">
        <f t="shared" si="1"/>
        <v>1</v>
      </c>
      <c r="K10" s="62">
        <f t="shared" si="1"/>
        <v>1</v>
      </c>
      <c r="L10" s="5">
        <f t="shared" si="1"/>
        <v>1</v>
      </c>
      <c r="M10" s="5">
        <f t="shared" si="1"/>
        <v>1</v>
      </c>
      <c r="N10" s="12">
        <f t="shared" si="1"/>
        <v>1</v>
      </c>
      <c r="O10" s="5">
        <f t="shared" si="1"/>
        <v>1</v>
      </c>
      <c r="P10" s="5"/>
      <c r="Q10" s="12">
        <f>Q6/(Q$4-Q$5)</f>
        <v>1</v>
      </c>
      <c r="R10" s="62">
        <f>R6/(R$4-R$5)</f>
        <v>1</v>
      </c>
      <c r="S10" s="5"/>
      <c r="T10" s="1"/>
      <c r="U10" s="1"/>
      <c r="V10" s="1"/>
      <c r="W10" s="1"/>
      <c r="X10" s="1"/>
      <c r="Y10" s="1"/>
      <c r="Z10" s="1"/>
    </row>
    <row r="11" spans="3:26" s="3" customFormat="1" ht="45" customHeight="1" x14ac:dyDescent="0.2">
      <c r="C11" s="147"/>
      <c r="D11" s="58" t="s">
        <v>26</v>
      </c>
      <c r="E11" s="59">
        <f t="shared" ref="E11:O11" si="2">E7/E6</f>
        <v>0.48998152621855906</v>
      </c>
      <c r="F11" s="59">
        <f t="shared" si="2"/>
        <v>0.49411597901602156</v>
      </c>
      <c r="G11" s="60">
        <f t="shared" si="2"/>
        <v>0.4920511000709723</v>
      </c>
      <c r="H11" s="59">
        <f t="shared" si="2"/>
        <v>0.48296593186372744</v>
      </c>
      <c r="I11" s="59">
        <f t="shared" si="2"/>
        <v>0.50603688470213615</v>
      </c>
      <c r="J11" s="60">
        <f t="shared" si="2"/>
        <v>0.49454133936892558</v>
      </c>
      <c r="K11" s="61">
        <f t="shared" si="2"/>
        <v>0.49333608134102774</v>
      </c>
      <c r="L11" s="59">
        <f t="shared" si="2"/>
        <v>0.53629842180774745</v>
      </c>
      <c r="M11" s="59">
        <f t="shared" si="2"/>
        <v>0.5254066503526702</v>
      </c>
      <c r="N11" s="60">
        <f t="shared" si="2"/>
        <v>0.53086153625062871</v>
      </c>
      <c r="O11" s="59">
        <f t="shared" si="2"/>
        <v>0.5436153056736549</v>
      </c>
      <c r="P11" s="59"/>
      <c r="Q11" s="60">
        <f>Q7/Q6</f>
        <v>0.5436153056736549</v>
      </c>
      <c r="R11" s="61">
        <f>R7/R6</f>
        <v>0.53505641816954386</v>
      </c>
      <c r="S11" s="41"/>
      <c r="T11" s="1"/>
      <c r="U11" s="1"/>
      <c r="V11" s="1"/>
      <c r="W11" s="1"/>
      <c r="X11" s="1"/>
      <c r="Y11" s="1"/>
      <c r="Z11" s="1"/>
    </row>
    <row r="12" spans="3:26" s="3" customFormat="1" ht="45" customHeight="1" thickBot="1" x14ac:dyDescent="0.25">
      <c r="C12" s="147"/>
      <c r="D12" s="109" t="s">
        <v>27</v>
      </c>
      <c r="E12" s="118">
        <f t="shared" ref="E12:O12" si="3">E8/E6</f>
        <v>0.51001847378144094</v>
      </c>
      <c r="F12" s="118">
        <f t="shared" si="3"/>
        <v>0.50588402098397844</v>
      </c>
      <c r="G12" s="119">
        <f t="shared" si="3"/>
        <v>0.5079488999290277</v>
      </c>
      <c r="H12" s="118">
        <f t="shared" si="3"/>
        <v>0.51703406813627251</v>
      </c>
      <c r="I12" s="118">
        <f t="shared" si="3"/>
        <v>0.49396311529786385</v>
      </c>
      <c r="J12" s="119">
        <f t="shared" si="3"/>
        <v>0.50545866063107447</v>
      </c>
      <c r="K12" s="120">
        <f t="shared" si="3"/>
        <v>0.5066639186589722</v>
      </c>
      <c r="L12" s="118">
        <f t="shared" si="3"/>
        <v>0.46370157819225249</v>
      </c>
      <c r="M12" s="118">
        <f t="shared" si="3"/>
        <v>0.4745933496473298</v>
      </c>
      <c r="N12" s="119">
        <f t="shared" si="3"/>
        <v>0.46913846374937129</v>
      </c>
      <c r="O12" s="118">
        <f t="shared" si="3"/>
        <v>0.4563846943263451</v>
      </c>
      <c r="P12" s="118"/>
      <c r="Q12" s="119">
        <f>Q8/Q6</f>
        <v>0.4563846943263451</v>
      </c>
      <c r="R12" s="120">
        <f>R8/R6</f>
        <v>0.46494358183045614</v>
      </c>
      <c r="S12" s="116"/>
      <c r="T12" s="121"/>
      <c r="U12" s="121"/>
      <c r="V12" s="121"/>
      <c r="W12" s="121"/>
      <c r="X12" s="121"/>
      <c r="Y12" s="121"/>
      <c r="Z12" s="121"/>
    </row>
    <row r="13" spans="3:26" s="3" customFormat="1" ht="45" customHeight="1" thickTop="1" x14ac:dyDescent="0.2">
      <c r="C13" s="43"/>
      <c r="D13" s="30"/>
      <c r="E13" s="5"/>
      <c r="F13" s="5"/>
      <c r="G13" s="28"/>
      <c r="H13" s="5"/>
      <c r="I13" s="5"/>
      <c r="J13" s="28"/>
      <c r="K13" s="47"/>
      <c r="L13" s="5"/>
      <c r="M13" s="5"/>
      <c r="N13" s="28"/>
      <c r="O13" s="5"/>
      <c r="P13" s="5"/>
      <c r="Q13" s="28"/>
      <c r="R13" s="47"/>
      <c r="S13" s="5"/>
      <c r="T13" s="5"/>
      <c r="U13" s="5"/>
      <c r="V13" s="5"/>
      <c r="W13" s="25"/>
      <c r="X13" s="5"/>
      <c r="Y13" s="5"/>
      <c r="Z13" s="5"/>
    </row>
    <row r="14" spans="3:26" s="3" customFormat="1" ht="45" customHeight="1" x14ac:dyDescent="0.2">
      <c r="C14" s="43"/>
      <c r="D14" s="30"/>
      <c r="E14" s="7"/>
      <c r="F14" s="7"/>
      <c r="G14" s="26"/>
      <c r="H14" s="7"/>
      <c r="I14" s="7"/>
      <c r="J14" s="26"/>
      <c r="K14" s="48"/>
      <c r="L14" s="7"/>
      <c r="M14" s="7"/>
      <c r="N14" s="26"/>
      <c r="O14" s="7"/>
      <c r="P14" s="7"/>
      <c r="Q14" s="26"/>
      <c r="R14" s="48"/>
      <c r="S14" s="4"/>
      <c r="T14" s="5"/>
      <c r="U14" s="5"/>
      <c r="V14" s="5"/>
      <c r="W14" s="25"/>
      <c r="X14" s="5"/>
      <c r="Y14" s="5"/>
      <c r="Z14" s="5"/>
    </row>
    <row r="15" spans="3:26" s="3" customFormat="1" ht="45" customHeight="1" thickBot="1" x14ac:dyDescent="0.25">
      <c r="C15" s="35" t="s">
        <v>29</v>
      </c>
      <c r="D15" s="8" t="s">
        <v>23</v>
      </c>
      <c r="E15" s="124">
        <v>259000000</v>
      </c>
      <c r="F15" s="124">
        <v>252000000</v>
      </c>
      <c r="G15" s="100">
        <f>E15+F15</f>
        <v>511000000</v>
      </c>
      <c r="H15" s="124">
        <v>254100000</v>
      </c>
      <c r="I15" s="124">
        <v>187300000</v>
      </c>
      <c r="J15" s="100">
        <f>H15+I15</f>
        <v>441400000</v>
      </c>
      <c r="K15" s="101">
        <f>G15+J15</f>
        <v>952400000</v>
      </c>
      <c r="L15" s="124">
        <v>244100000</v>
      </c>
      <c r="M15" s="124">
        <v>244000000</v>
      </c>
      <c r="N15" s="100">
        <f>L15+M15</f>
        <v>488100000</v>
      </c>
      <c r="O15" s="124">
        <v>228900000</v>
      </c>
      <c r="P15" s="124"/>
      <c r="Q15" s="100">
        <f>O15+P15</f>
        <v>228900000</v>
      </c>
      <c r="R15" s="101">
        <f>N15+Q15</f>
        <v>717000000</v>
      </c>
      <c r="S15" s="32"/>
      <c r="T15" s="125">
        <f>L15/E15-1</f>
        <v>-5.7528957528957481E-2</v>
      </c>
      <c r="U15" s="125">
        <f>M15/F15-1</f>
        <v>-3.1746031746031744E-2</v>
      </c>
      <c r="V15" s="130">
        <f>N15/G15-1</f>
        <v>-4.4814090019569486E-2</v>
      </c>
      <c r="W15" s="125">
        <f>O15/H15-1</f>
        <v>-9.9173553719008267E-2</v>
      </c>
      <c r="X15" s="33"/>
      <c r="Y15" s="34"/>
      <c r="Z15" s="15"/>
    </row>
    <row r="16" spans="3:26" s="3" customFormat="1" ht="45" customHeight="1" thickTop="1" x14ac:dyDescent="0.2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3:26" s="3" customFormat="1" ht="45" customHeight="1" x14ac:dyDescent="0.2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3:26" s="3" customFormat="1" ht="45" customHeight="1" thickBot="1" x14ac:dyDescent="0.25">
      <c r="C18" s="85" t="s">
        <v>30</v>
      </c>
      <c r="D18" s="8" t="s">
        <v>23</v>
      </c>
      <c r="E18" s="33">
        <f t="shared" ref="E18:O18" si="4">E15/E4</f>
        <v>0.3724475122231809</v>
      </c>
      <c r="F18" s="33">
        <f t="shared" si="4"/>
        <v>0.3594864479315264</v>
      </c>
      <c r="G18" s="34">
        <f t="shared" si="4"/>
        <v>0.36594099112002293</v>
      </c>
      <c r="H18" s="33">
        <f t="shared" si="4"/>
        <v>0.34259134420924903</v>
      </c>
      <c r="I18" s="33">
        <f t="shared" si="4"/>
        <v>0.24970003999466739</v>
      </c>
      <c r="J18" s="34">
        <f t="shared" si="4"/>
        <v>0.29588416677838852</v>
      </c>
      <c r="K18" s="122">
        <f t="shared" si="4"/>
        <v>0.32975555709438403</v>
      </c>
      <c r="L18" s="33">
        <f t="shared" si="4"/>
        <v>0.35147588192944562</v>
      </c>
      <c r="M18" s="33">
        <f t="shared" si="4"/>
        <v>0.35604844593608637</v>
      </c>
      <c r="N18" s="34">
        <f t="shared" si="4"/>
        <v>0.35374691984345558</v>
      </c>
      <c r="O18" s="33">
        <f t="shared" si="4"/>
        <v>0.33891027539236007</v>
      </c>
      <c r="P18" s="33"/>
      <c r="Q18" s="34">
        <f>Q15/Q4</f>
        <v>0.33891027539236007</v>
      </c>
      <c r="R18" s="122">
        <f>R15/R4</f>
        <v>0.34887115609186453</v>
      </c>
      <c r="S18" s="11"/>
      <c r="T18" s="125">
        <f>L18-E18</f>
        <v>-2.0971630293735277E-2</v>
      </c>
      <c r="U18" s="123">
        <f>M18-F18</f>
        <v>-3.438001995440032E-3</v>
      </c>
      <c r="V18" s="130">
        <f>N18-G18</f>
        <v>-1.2194071276567353E-2</v>
      </c>
      <c r="W18" s="123">
        <f>O18-H18</f>
        <v>-3.6810688168889549E-3</v>
      </c>
      <c r="X18" s="11"/>
      <c r="Y18" s="23"/>
      <c r="Z18" s="24"/>
    </row>
    <row r="19" spans="3:26" s="3" customFormat="1" ht="45" customHeight="1" thickTop="1" x14ac:dyDescent="0.2">
      <c r="C19" s="93"/>
      <c r="D19" s="30"/>
      <c r="E19" s="94"/>
      <c r="F19" s="94"/>
      <c r="G19" s="95"/>
      <c r="H19" s="94"/>
      <c r="I19" s="94"/>
      <c r="J19" s="95"/>
      <c r="K19" s="96"/>
      <c r="L19" s="94"/>
      <c r="M19" s="94"/>
      <c r="N19" s="95"/>
      <c r="O19" s="94"/>
      <c r="P19" s="94"/>
      <c r="Q19" s="95"/>
      <c r="R19" s="96"/>
      <c r="S19" s="94"/>
      <c r="T19" s="97"/>
      <c r="U19" s="97"/>
      <c r="V19" s="97"/>
      <c r="W19" s="98"/>
      <c r="X19" s="99"/>
      <c r="Y19" s="99"/>
      <c r="Z19" s="99"/>
    </row>
    <row r="20" spans="3:26" s="3" customFormat="1" ht="45" customHeight="1" x14ac:dyDescent="0.2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3:26" s="3" customFormat="1" ht="45" customHeight="1" x14ac:dyDescent="0.2">
      <c r="C21" s="102" t="s">
        <v>31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3:26" s="3" customFormat="1" ht="45" customHeight="1" x14ac:dyDescent="0.2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3:26" s="3" customFormat="1" ht="45" customHeight="1" x14ac:dyDescent="0.2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3:26" s="3" customFormat="1" ht="45" customHeight="1" x14ac:dyDescent="0.2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3:26" s="3" customFormat="1" ht="45" customHeight="1" x14ac:dyDescent="0.2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3:26" s="3" customFormat="1" ht="45" customHeight="1" x14ac:dyDescent="0.2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3:26" s="3" customFormat="1" ht="45" customHeight="1" x14ac:dyDescent="0.2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3:26" s="3" customFormat="1" ht="45" customHeight="1" x14ac:dyDescent="0.2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3:26" s="3" customFormat="1" ht="45" customHeight="1" x14ac:dyDescent="0.2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3:26" s="3" customFormat="1" ht="45" customHeight="1" x14ac:dyDescent="0.2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3:26" s="3" customFormat="1" ht="45" customHeight="1" x14ac:dyDescent="0.2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3:26" s="3" customFormat="1" ht="45" customHeight="1" x14ac:dyDescent="0.2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5:26" s="3" customFormat="1" ht="45" customHeight="1" x14ac:dyDescent="0.2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5:26" s="3" customFormat="1" ht="45" customHeight="1" x14ac:dyDescent="0.2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5:26" s="3" customFormat="1" ht="45" customHeight="1" x14ac:dyDescent="0.2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5:26" s="3" customFormat="1" ht="45" customHeight="1" x14ac:dyDescent="0.2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5:26" s="3" customFormat="1" ht="45" customHeight="1" x14ac:dyDescent="0.2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</sheetData>
  <mergeCells count="2">
    <mergeCell ref="C4:C8"/>
    <mergeCell ref="C10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9"/>
  <sheetViews>
    <sheetView workbookViewId="0">
      <pane xSplit="2" ySplit="4" topLeftCell="G5" activePane="bottomRight" state="frozen"/>
      <selection pane="topRight"/>
      <selection pane="bottomLeft"/>
      <selection pane="bottomRight" sqref="A1:W1"/>
    </sheetView>
  </sheetViews>
  <sheetFormatPr baseColWidth="10" defaultColWidth="8.83203125" defaultRowHeight="16" x14ac:dyDescent="0.2"/>
  <cols>
    <col min="1" max="1" width="24" customWidth="1"/>
    <col min="2" max="2" width="16" customWidth="1"/>
    <col min="3" max="23" width="13" customWidth="1"/>
  </cols>
  <sheetData>
    <row r="1" spans="1:23" ht="22" customHeight="1" x14ac:dyDescent="0.2">
      <c r="A1" s="154" t="s">
        <v>40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</row>
    <row r="2" spans="1:23" ht="18" customHeight="1" x14ac:dyDescent="0.2">
      <c r="A2" s="153" t="s">
        <v>41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 spans="1:23" ht="18" customHeight="1" x14ac:dyDescent="0.2">
      <c r="A3" s="151" t="s">
        <v>42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</row>
    <row r="4" spans="1:23" ht="30" customHeight="1" x14ac:dyDescent="0.2">
      <c r="A4" s="131" t="s">
        <v>0</v>
      </c>
      <c r="B4" s="131"/>
      <c r="C4" s="131" t="s">
        <v>1</v>
      </c>
      <c r="D4" s="131" t="s">
        <v>2</v>
      </c>
      <c r="E4" s="131" t="s">
        <v>3</v>
      </c>
      <c r="F4" s="131" t="s">
        <v>4</v>
      </c>
      <c r="G4" s="131" t="s">
        <v>5</v>
      </c>
      <c r="H4" s="131" t="s">
        <v>6</v>
      </c>
      <c r="I4" s="131" t="s">
        <v>7</v>
      </c>
      <c r="J4" s="131" t="s">
        <v>8</v>
      </c>
      <c r="K4" s="131" t="s">
        <v>9</v>
      </c>
      <c r="L4" s="131" t="s">
        <v>10</v>
      </c>
      <c r="M4" s="131" t="s">
        <v>11</v>
      </c>
      <c r="N4" s="131" t="s">
        <v>35</v>
      </c>
      <c r="O4" s="131" t="s">
        <v>36</v>
      </c>
      <c r="P4" s="131" t="s">
        <v>37</v>
      </c>
      <c r="Q4" s="131" t="s">
        <v>15</v>
      </c>
      <c r="R4" s="131" t="s">
        <v>16</v>
      </c>
      <c r="S4" s="131" t="s">
        <v>17</v>
      </c>
      <c r="T4" s="131" t="s">
        <v>18</v>
      </c>
      <c r="U4" s="131" t="s">
        <v>19</v>
      </c>
      <c r="V4" s="131" t="s">
        <v>20</v>
      </c>
      <c r="W4" s="131" t="s">
        <v>21</v>
      </c>
    </row>
    <row r="5" spans="1:23" ht="18" customHeight="1" x14ac:dyDescent="0.2">
      <c r="A5" s="148" t="s">
        <v>22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</row>
    <row r="6" spans="1:23" ht="16" customHeight="1" x14ac:dyDescent="0.2">
      <c r="A6" s="132" t="s">
        <v>22</v>
      </c>
      <c r="B6" s="132" t="s">
        <v>23</v>
      </c>
      <c r="C6" s="133">
        <v>686700000</v>
      </c>
      <c r="D6" s="133">
        <v>693700000</v>
      </c>
      <c r="E6" s="133">
        <v>1380400000</v>
      </c>
      <c r="F6" s="133">
        <v>733200000</v>
      </c>
      <c r="G6" s="133">
        <v>740400000</v>
      </c>
      <c r="H6" s="133">
        <v>1473600000</v>
      </c>
      <c r="I6" s="133">
        <v>2854000000</v>
      </c>
      <c r="J6" s="133">
        <v>687500000</v>
      </c>
      <c r="K6" s="133">
        <v>675600000</v>
      </c>
      <c r="L6" s="133">
        <v>1363100000</v>
      </c>
      <c r="M6" s="133">
        <v>684300000</v>
      </c>
      <c r="N6" s="133">
        <v>691000000</v>
      </c>
      <c r="O6" s="133">
        <v>1375300000</v>
      </c>
      <c r="P6" s="133">
        <v>2738400000</v>
      </c>
      <c r="Q6" s="134">
        <v>1.164991990680064E-3</v>
      </c>
      <c r="R6" s="134">
        <v>-2.6091970592475131E-2</v>
      </c>
      <c r="S6" s="134">
        <v>-1.2532599246595191E-2</v>
      </c>
      <c r="T6" s="134">
        <v>-6.6693944353518816E-2</v>
      </c>
      <c r="U6" s="135"/>
      <c r="V6" s="134">
        <v>-6.6707383279044519E-2</v>
      </c>
      <c r="W6" s="134">
        <v>-4.0504555010511561E-2</v>
      </c>
    </row>
    <row r="7" spans="1:23" ht="16" customHeight="1" x14ac:dyDescent="0.2">
      <c r="A7" s="136"/>
      <c r="B7" s="132" t="s">
        <v>24</v>
      </c>
      <c r="C7" s="133">
        <v>-8300000</v>
      </c>
      <c r="D7" s="133">
        <v>-4300000</v>
      </c>
      <c r="E7" s="133">
        <v>-12600000</v>
      </c>
      <c r="F7" s="133">
        <v>-6800000</v>
      </c>
      <c r="G7" s="133">
        <v>-3600000</v>
      </c>
      <c r="H7" s="133">
        <v>-10400000</v>
      </c>
      <c r="I7" s="133">
        <v>-23000000</v>
      </c>
      <c r="J7" s="133">
        <v>-2500000</v>
      </c>
      <c r="K7" s="133">
        <v>-9400000</v>
      </c>
      <c r="L7" s="133">
        <v>-11900000</v>
      </c>
      <c r="M7" s="133">
        <v>-6700000</v>
      </c>
      <c r="N7" s="133">
        <v>0</v>
      </c>
      <c r="O7" s="133">
        <v>-6700000</v>
      </c>
      <c r="P7" s="133">
        <v>-18600000</v>
      </c>
      <c r="Q7" s="134">
        <v>0.6987951807228916</v>
      </c>
      <c r="R7" s="134">
        <v>-1.1860465116279071</v>
      </c>
      <c r="S7" s="134">
        <v>5.5555555555555552E-2</v>
      </c>
      <c r="T7" s="134">
        <v>1.470588235294118E-2</v>
      </c>
      <c r="U7" s="135"/>
      <c r="V7" s="134">
        <v>0.35576923076923078</v>
      </c>
      <c r="W7" s="134">
        <v>0.19130434782608699</v>
      </c>
    </row>
    <row r="8" spans="1:23" ht="16" customHeight="1" x14ac:dyDescent="0.2">
      <c r="A8" s="136"/>
      <c r="B8" s="132" t="s">
        <v>25</v>
      </c>
      <c r="C8" s="133">
        <v>695000000</v>
      </c>
      <c r="D8" s="133">
        <v>698000000</v>
      </c>
      <c r="E8" s="133">
        <v>1393000000</v>
      </c>
      <c r="F8" s="133">
        <v>740000000</v>
      </c>
      <c r="G8" s="133">
        <v>744000000</v>
      </c>
      <c r="H8" s="133">
        <v>1484000000</v>
      </c>
      <c r="I8" s="133">
        <v>2877000000</v>
      </c>
      <c r="J8" s="133">
        <v>690000000</v>
      </c>
      <c r="K8" s="133">
        <v>685000000</v>
      </c>
      <c r="L8" s="133">
        <v>1375000000</v>
      </c>
      <c r="M8" s="133">
        <v>691000000</v>
      </c>
      <c r="N8" s="133">
        <v>691000000</v>
      </c>
      <c r="O8" s="133">
        <v>1382000000</v>
      </c>
      <c r="P8" s="133">
        <v>2757000000</v>
      </c>
      <c r="Q8" s="134">
        <v>-7.1942446043165471E-3</v>
      </c>
      <c r="R8" s="134">
        <v>-1.8624641833810889E-2</v>
      </c>
      <c r="S8" s="134">
        <v>-1.2921751615218951E-2</v>
      </c>
      <c r="T8" s="134">
        <v>-6.621621621621622E-2</v>
      </c>
      <c r="U8" s="135"/>
      <c r="V8" s="134">
        <v>-6.8733153638814021E-2</v>
      </c>
      <c r="W8" s="134">
        <v>-4.171011470281543E-2</v>
      </c>
    </row>
    <row r="9" spans="1:23" ht="16" customHeight="1" x14ac:dyDescent="0.2">
      <c r="A9" s="136"/>
      <c r="B9" s="132" t="s">
        <v>26</v>
      </c>
      <c r="C9" s="133">
        <v>368000000</v>
      </c>
      <c r="D9" s="133">
        <v>370000000</v>
      </c>
      <c r="E9" s="133">
        <v>738000000</v>
      </c>
      <c r="F9" s="133">
        <v>391000000</v>
      </c>
      <c r="G9" s="133">
        <v>386000000</v>
      </c>
      <c r="H9" s="133">
        <v>777000000</v>
      </c>
      <c r="I9" s="133">
        <v>1515000000</v>
      </c>
      <c r="J9" s="133">
        <v>382000000</v>
      </c>
      <c r="K9" s="133">
        <v>370000000</v>
      </c>
      <c r="L9" s="133">
        <v>752000000</v>
      </c>
      <c r="M9" s="133">
        <v>368000000</v>
      </c>
      <c r="N9" s="133">
        <v>368000000</v>
      </c>
      <c r="O9" s="133">
        <v>736000000</v>
      </c>
      <c r="P9" s="133">
        <v>1488000000</v>
      </c>
      <c r="Q9" s="134">
        <v>3.8043478260869568E-2</v>
      </c>
      <c r="R9" s="134">
        <v>0</v>
      </c>
      <c r="S9" s="134">
        <v>1.8970189701897022E-2</v>
      </c>
      <c r="T9" s="134">
        <v>-5.8823529411764712E-2</v>
      </c>
      <c r="U9" s="135"/>
      <c r="V9" s="134">
        <v>-5.276705276705277E-2</v>
      </c>
      <c r="W9" s="134">
        <v>-1.782178217821782E-2</v>
      </c>
    </row>
    <row r="10" spans="1:23" ht="16" customHeight="1" x14ac:dyDescent="0.2">
      <c r="A10" s="136"/>
      <c r="B10" s="132" t="s">
        <v>27</v>
      </c>
      <c r="C10" s="133">
        <v>327000000</v>
      </c>
      <c r="D10" s="133">
        <v>328000000</v>
      </c>
      <c r="E10" s="133">
        <v>655000000</v>
      </c>
      <c r="F10" s="133">
        <v>349000000</v>
      </c>
      <c r="G10" s="133">
        <v>358000000</v>
      </c>
      <c r="H10" s="133">
        <v>707000000</v>
      </c>
      <c r="I10" s="133">
        <v>1362000000</v>
      </c>
      <c r="J10" s="133">
        <v>308000000</v>
      </c>
      <c r="K10" s="133">
        <v>315000000</v>
      </c>
      <c r="L10" s="133">
        <v>623000000</v>
      </c>
      <c r="M10" s="133">
        <v>323000000</v>
      </c>
      <c r="N10" s="133">
        <v>323000000</v>
      </c>
      <c r="O10" s="133">
        <v>646000000</v>
      </c>
      <c r="P10" s="133">
        <v>1269000000</v>
      </c>
      <c r="Q10" s="134">
        <v>-5.8103975535168197E-2</v>
      </c>
      <c r="R10" s="134">
        <v>-3.9634146341463422E-2</v>
      </c>
      <c r="S10" s="134">
        <v>-4.8854961832061068E-2</v>
      </c>
      <c r="T10" s="134">
        <v>-7.4498567335243557E-2</v>
      </c>
      <c r="U10" s="135"/>
      <c r="V10" s="134">
        <v>-8.6280056577086275E-2</v>
      </c>
      <c r="W10" s="134">
        <v>-6.8281938325991193E-2</v>
      </c>
    </row>
    <row r="11" spans="1:23" ht="18" customHeight="1" x14ac:dyDescent="0.2">
      <c r="A11" s="148" t="s">
        <v>28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</row>
    <row r="12" spans="1:23" ht="16" customHeight="1" x14ac:dyDescent="0.2">
      <c r="A12" s="132" t="s">
        <v>28</v>
      </c>
      <c r="B12" s="132" t="s">
        <v>25</v>
      </c>
      <c r="C12" s="134">
        <v>1</v>
      </c>
      <c r="D12" s="134">
        <v>1</v>
      </c>
      <c r="E12" s="134">
        <v>1</v>
      </c>
      <c r="F12" s="134">
        <v>1</v>
      </c>
      <c r="G12" s="134">
        <v>1</v>
      </c>
      <c r="H12" s="134">
        <v>1</v>
      </c>
      <c r="I12" s="134">
        <v>1</v>
      </c>
      <c r="J12" s="134">
        <v>1</v>
      </c>
      <c r="K12" s="134">
        <v>1</v>
      </c>
      <c r="L12" s="134">
        <v>1</v>
      </c>
      <c r="M12" s="134">
        <v>1</v>
      </c>
      <c r="N12" s="134">
        <v>1</v>
      </c>
      <c r="O12" s="134">
        <v>1</v>
      </c>
      <c r="P12" s="134">
        <v>1</v>
      </c>
      <c r="Q12" s="137">
        <v>0</v>
      </c>
      <c r="R12" s="137">
        <v>0</v>
      </c>
      <c r="S12" s="137">
        <v>0</v>
      </c>
      <c r="T12" s="137">
        <v>0</v>
      </c>
      <c r="U12" s="138"/>
      <c r="V12" s="138"/>
      <c r="W12" s="138"/>
    </row>
    <row r="13" spans="1:23" ht="16" customHeight="1" x14ac:dyDescent="0.2">
      <c r="A13" s="136"/>
      <c r="B13" s="132" t="s">
        <v>26</v>
      </c>
      <c r="C13" s="134">
        <v>0.52949640287769784</v>
      </c>
      <c r="D13" s="134">
        <v>0.53008595988538687</v>
      </c>
      <c r="E13" s="134">
        <v>0.52979181622397697</v>
      </c>
      <c r="F13" s="134">
        <v>0.52837837837837842</v>
      </c>
      <c r="G13" s="134">
        <v>0.51881720430107525</v>
      </c>
      <c r="H13" s="134">
        <v>0.52358490566037741</v>
      </c>
      <c r="I13" s="134">
        <v>0.52659019812304486</v>
      </c>
      <c r="J13" s="134">
        <v>0.55362318840579705</v>
      </c>
      <c r="K13" s="134">
        <v>0.54014598540145986</v>
      </c>
      <c r="L13" s="134">
        <v>0.5469090909090909</v>
      </c>
      <c r="M13" s="134">
        <v>0.53256150506512301</v>
      </c>
      <c r="N13" s="134">
        <v>0.53256150506512301</v>
      </c>
      <c r="O13" s="134">
        <v>0.53256150506512301</v>
      </c>
      <c r="P13" s="134">
        <v>0.53971708378672467</v>
      </c>
      <c r="Q13" s="137">
        <v>2.4126785528099211E-2</v>
      </c>
      <c r="R13" s="137">
        <v>1.006002551607299E-2</v>
      </c>
      <c r="S13" s="137">
        <v>1.7117274685113929E-2</v>
      </c>
      <c r="T13" s="137">
        <v>4.1831266867445871E-3</v>
      </c>
      <c r="U13" s="138"/>
      <c r="V13" s="138"/>
      <c r="W13" s="138"/>
    </row>
    <row r="14" spans="1:23" ht="16" customHeight="1" x14ac:dyDescent="0.2">
      <c r="A14" s="136"/>
      <c r="B14" s="132" t="s">
        <v>27</v>
      </c>
      <c r="C14" s="134">
        <v>0.47050359712230222</v>
      </c>
      <c r="D14" s="134">
        <v>0.46991404011461319</v>
      </c>
      <c r="E14" s="134">
        <v>0.47020818377602303</v>
      </c>
      <c r="F14" s="134">
        <v>0.47162162162162158</v>
      </c>
      <c r="G14" s="134">
        <v>0.48118279569892469</v>
      </c>
      <c r="H14" s="134">
        <v>0.47641509433962259</v>
      </c>
      <c r="I14" s="134">
        <v>0.47340980187695508</v>
      </c>
      <c r="J14" s="134">
        <v>0.44637681159420289</v>
      </c>
      <c r="K14" s="134">
        <v>0.45985401459854008</v>
      </c>
      <c r="L14" s="134">
        <v>0.4530909090909091</v>
      </c>
      <c r="M14" s="134">
        <v>0.46743849493487699</v>
      </c>
      <c r="N14" s="134">
        <v>0.46743849493487699</v>
      </c>
      <c r="O14" s="134">
        <v>0.46743849493487699</v>
      </c>
      <c r="P14" s="134">
        <v>0.46028291621327527</v>
      </c>
      <c r="Q14" s="137">
        <v>-2.412678552809927E-2</v>
      </c>
      <c r="R14" s="137">
        <v>-1.0060025516073051E-2</v>
      </c>
      <c r="S14" s="137">
        <v>-1.711727468511387E-2</v>
      </c>
      <c r="T14" s="137">
        <v>-4.1831266867446426E-3</v>
      </c>
      <c r="U14" s="138"/>
      <c r="V14" s="138"/>
      <c r="W14" s="138"/>
    </row>
    <row r="15" spans="1:23" ht="18" customHeight="1" x14ac:dyDescent="0.2">
      <c r="A15" s="148" t="s">
        <v>29</v>
      </c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</row>
    <row r="16" spans="1:23" ht="16" customHeight="1" x14ac:dyDescent="0.2">
      <c r="A16" s="132" t="s">
        <v>29</v>
      </c>
      <c r="B16" s="132" t="s">
        <v>23</v>
      </c>
      <c r="C16" s="133">
        <v>248000000</v>
      </c>
      <c r="D16" s="133">
        <v>245000000</v>
      </c>
      <c r="E16" s="133">
        <v>493000000</v>
      </c>
      <c r="F16" s="133">
        <v>248000000</v>
      </c>
      <c r="G16" s="133">
        <v>242000000</v>
      </c>
      <c r="H16" s="133">
        <v>490000000</v>
      </c>
      <c r="I16" s="133">
        <v>983000000</v>
      </c>
      <c r="J16" s="133">
        <v>240000000</v>
      </c>
      <c r="K16" s="133">
        <v>238000000</v>
      </c>
      <c r="L16" s="133">
        <v>478000000</v>
      </c>
      <c r="M16" s="133">
        <v>232000000</v>
      </c>
      <c r="N16" s="133">
        <v>232000000</v>
      </c>
      <c r="O16" s="133">
        <v>464000000</v>
      </c>
      <c r="P16" s="133">
        <v>942000000</v>
      </c>
      <c r="Q16" s="134">
        <v>-3.2258064516129031E-2</v>
      </c>
      <c r="R16" s="134">
        <v>-2.8571428571428571E-2</v>
      </c>
      <c r="S16" s="134">
        <v>-3.0425963488843809E-2</v>
      </c>
      <c r="T16" s="134">
        <v>-6.4516129032258063E-2</v>
      </c>
      <c r="U16" s="135"/>
      <c r="V16" s="134">
        <v>-5.3061224489795923E-2</v>
      </c>
      <c r="W16" s="134">
        <v>-4.170905391658189E-2</v>
      </c>
    </row>
    <row r="17" spans="1:23" ht="16" customHeight="1" x14ac:dyDescent="0.2">
      <c r="A17" s="132" t="s">
        <v>30</v>
      </c>
      <c r="B17" s="132" t="s">
        <v>23</v>
      </c>
      <c r="C17" s="134">
        <v>0.36114751711081988</v>
      </c>
      <c r="D17" s="134">
        <v>0.35317860746720492</v>
      </c>
      <c r="E17" s="134">
        <v>0.35714285714285721</v>
      </c>
      <c r="F17" s="134">
        <v>0.33824331696672122</v>
      </c>
      <c r="G17" s="134">
        <v>0.32685035116153432</v>
      </c>
      <c r="H17" s="134">
        <v>0.33251900108577631</v>
      </c>
      <c r="I17" s="134">
        <v>0.34442887175893477</v>
      </c>
      <c r="J17" s="134">
        <v>0.34909090909090912</v>
      </c>
      <c r="K17" s="134">
        <v>0.35227945529899352</v>
      </c>
      <c r="L17" s="134">
        <v>0.35067126403051868</v>
      </c>
      <c r="M17" s="134">
        <v>0.33903258804617858</v>
      </c>
      <c r="N17" s="134">
        <v>0.33574529667149061</v>
      </c>
      <c r="O17" s="134">
        <v>0.33738093506871231</v>
      </c>
      <c r="P17" s="134">
        <v>0.34399649430324281</v>
      </c>
      <c r="Q17" s="137">
        <v>-1.205660801991076E-2</v>
      </c>
      <c r="R17" s="137">
        <v>-8.9915216821140342E-4</v>
      </c>
      <c r="S17" s="137">
        <v>-6.4715931123384696E-3</v>
      </c>
      <c r="T17" s="137">
        <v>7.8927107945736541E-4</v>
      </c>
      <c r="U17" s="138"/>
      <c r="V17" s="138"/>
      <c r="W17" s="138"/>
    </row>
    <row r="18" spans="1:23" ht="18" customHeight="1" x14ac:dyDescent="0.2">
      <c r="A18" s="148" t="s">
        <v>31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</row>
    <row r="19" spans="1:23" ht="24" customHeight="1" x14ac:dyDescent="0.2">
      <c r="A19" s="152" t="s">
        <v>43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</row>
  </sheetData>
  <mergeCells count="8">
    <mergeCell ref="A19:W19"/>
    <mergeCell ref="A5:W5"/>
    <mergeCell ref="A1:W1"/>
    <mergeCell ref="A18:W18"/>
    <mergeCell ref="A3:W3"/>
    <mergeCell ref="A15:W15"/>
    <mergeCell ref="A2:W2"/>
    <mergeCell ref="A11:W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Z50"/>
  <sheetViews>
    <sheetView tabSelected="1"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U9" sqref="U9"/>
    </sheetView>
  </sheetViews>
  <sheetFormatPr baseColWidth="10" defaultRowHeight="45" customHeight="1" x14ac:dyDescent="0.2"/>
  <cols>
    <col min="1" max="2" width="10.83203125" style="1" customWidth="1"/>
    <col min="3" max="3" width="28.5" style="1" customWidth="1"/>
    <col min="4" max="4" width="16.1640625" style="1" customWidth="1"/>
    <col min="5" max="5" width="19.6640625" style="2" bestFit="1" customWidth="1"/>
    <col min="6" max="10" width="19.1640625" style="2" bestFit="1" customWidth="1"/>
    <col min="11" max="11" width="21" style="2" bestFit="1" customWidth="1"/>
    <col min="12" max="15" width="19.1640625" style="2" bestFit="1" customWidth="1"/>
    <col min="16" max="16" width="24.83203125" style="2" customWidth="1"/>
    <col min="17" max="17" width="19.1640625" style="2" bestFit="1" customWidth="1"/>
    <col min="18" max="18" width="21" style="2" bestFit="1" customWidth="1"/>
    <col min="19" max="26" width="10.83203125" style="2" customWidth="1"/>
    <col min="27" max="27" width="10.83203125" style="1" customWidth="1"/>
    <col min="28" max="16384" width="10.83203125" style="1"/>
  </cols>
  <sheetData>
    <row r="3" spans="3:26" s="3" customFormat="1" ht="45" customHeight="1" thickBot="1" x14ac:dyDescent="0.25">
      <c r="C3" s="102" t="s">
        <v>0</v>
      </c>
      <c r="E3" s="104" t="s">
        <v>1</v>
      </c>
      <c r="F3" s="104" t="s">
        <v>2</v>
      </c>
      <c r="G3" s="105" t="s">
        <v>3</v>
      </c>
      <c r="H3" s="104" t="s">
        <v>4</v>
      </c>
      <c r="I3" s="104" t="s">
        <v>5</v>
      </c>
      <c r="J3" s="105" t="s">
        <v>6</v>
      </c>
      <c r="K3" s="106" t="s">
        <v>7</v>
      </c>
      <c r="L3" s="104" t="s">
        <v>8</v>
      </c>
      <c r="M3" s="104" t="s">
        <v>9</v>
      </c>
      <c r="N3" s="105" t="s">
        <v>10</v>
      </c>
      <c r="O3" s="104" t="s">
        <v>11</v>
      </c>
      <c r="P3" s="104" t="s">
        <v>12</v>
      </c>
      <c r="Q3" s="105" t="s">
        <v>13</v>
      </c>
      <c r="R3" s="106" t="s">
        <v>14</v>
      </c>
      <c r="S3" s="107"/>
      <c r="T3" s="104" t="s">
        <v>15</v>
      </c>
      <c r="U3" s="104" t="s">
        <v>16</v>
      </c>
      <c r="V3" s="105" t="s">
        <v>17</v>
      </c>
      <c r="W3" s="104" t="s">
        <v>18</v>
      </c>
      <c r="X3" s="104" t="s">
        <v>19</v>
      </c>
      <c r="Y3" s="105" t="s">
        <v>20</v>
      </c>
      <c r="Z3" s="108" t="s">
        <v>21</v>
      </c>
    </row>
    <row r="4" spans="3:26" s="3" customFormat="1" ht="45" customHeight="1" x14ac:dyDescent="0.2">
      <c r="C4" s="155" t="s">
        <v>22</v>
      </c>
      <c r="D4" s="6" t="s">
        <v>23</v>
      </c>
      <c r="E4" s="64">
        <v>403300000</v>
      </c>
      <c r="F4" s="64">
        <v>444200000</v>
      </c>
      <c r="G4" s="69">
        <f>E4+F4</f>
        <v>847500000</v>
      </c>
      <c r="H4" s="64">
        <v>462800000</v>
      </c>
      <c r="I4" s="64">
        <v>484900000</v>
      </c>
      <c r="J4" s="69">
        <f>H4+I4</f>
        <v>947700000</v>
      </c>
      <c r="K4" s="74">
        <f>G4+J4</f>
        <v>1795200000</v>
      </c>
      <c r="L4" s="64">
        <v>421400000</v>
      </c>
      <c r="M4" s="64">
        <v>458200000</v>
      </c>
      <c r="N4" s="69">
        <f>L4+M4</f>
        <v>879600000</v>
      </c>
      <c r="O4" s="64">
        <v>457300000</v>
      </c>
      <c r="P4" s="36"/>
      <c r="Q4" s="69">
        <f>O4+P4</f>
        <v>457300000</v>
      </c>
      <c r="R4" s="74">
        <f>N4+Q4</f>
        <v>1336900000</v>
      </c>
      <c r="S4" s="27"/>
      <c r="T4" s="37">
        <f>L4/E4-1</f>
        <v>4.4879742127448496E-2</v>
      </c>
      <c r="U4" s="37">
        <f>M4/F4-1</f>
        <v>3.1517334533993635E-2</v>
      </c>
      <c r="V4" s="38">
        <f>N4/G4-1</f>
        <v>3.7876106194690173E-2</v>
      </c>
      <c r="W4" s="55">
        <f>O4/H4-1</f>
        <v>-1.1884183232497847E-2</v>
      </c>
      <c r="X4" s="37"/>
      <c r="Y4" s="38"/>
      <c r="Z4" s="14"/>
    </row>
    <row r="5" spans="3:26" s="3" customFormat="1" ht="45" customHeight="1" x14ac:dyDescent="0.2">
      <c r="C5" s="147"/>
      <c r="D5" s="50" t="s">
        <v>24</v>
      </c>
      <c r="E5" s="63">
        <f t="shared" ref="E5:R5" si="0">E4-(E6+E9+E10)</f>
        <v>-8500000</v>
      </c>
      <c r="F5" s="63">
        <f t="shared" si="0"/>
        <v>-8500000</v>
      </c>
      <c r="G5" s="70">
        <f t="shared" si="0"/>
        <v>-17000000</v>
      </c>
      <c r="H5" s="63">
        <f t="shared" si="0"/>
        <v>-9900000</v>
      </c>
      <c r="I5" s="63">
        <f t="shared" si="0"/>
        <v>-9900000</v>
      </c>
      <c r="J5" s="70">
        <f t="shared" si="0"/>
        <v>-19800000</v>
      </c>
      <c r="K5" s="75">
        <f t="shared" si="0"/>
        <v>-36800000</v>
      </c>
      <c r="L5" s="63">
        <f t="shared" si="0"/>
        <v>-8400000</v>
      </c>
      <c r="M5" s="63">
        <f t="shared" si="0"/>
        <v>-9200000</v>
      </c>
      <c r="N5" s="70">
        <f t="shared" si="0"/>
        <v>-17600000</v>
      </c>
      <c r="O5" s="63">
        <f t="shared" si="0"/>
        <v>-9600000</v>
      </c>
      <c r="P5" s="51">
        <f t="shared" si="0"/>
        <v>0</v>
      </c>
      <c r="Q5" s="70">
        <f t="shared" si="0"/>
        <v>-9600000</v>
      </c>
      <c r="R5" s="79">
        <f t="shared" si="0"/>
        <v>-27200000</v>
      </c>
      <c r="S5" s="51"/>
      <c r="T5" s="51"/>
      <c r="U5" s="51"/>
      <c r="V5" s="52"/>
      <c r="W5" s="51"/>
      <c r="X5" s="51"/>
      <c r="Y5" s="52"/>
      <c r="Z5" s="14"/>
    </row>
    <row r="6" spans="3:26" s="3" customFormat="1" ht="45" customHeight="1" x14ac:dyDescent="0.2">
      <c r="C6" s="147"/>
      <c r="D6" s="30" t="s">
        <v>25</v>
      </c>
      <c r="E6" s="65">
        <f>E7+E8</f>
        <v>375800000</v>
      </c>
      <c r="F6" s="65">
        <f>F7+F8</f>
        <v>383300000</v>
      </c>
      <c r="G6" s="71">
        <f>E6+F6</f>
        <v>759100000</v>
      </c>
      <c r="H6" s="65">
        <f>H7+H8</f>
        <v>394600000</v>
      </c>
      <c r="I6" s="65">
        <f>I7+I8</f>
        <v>414500000</v>
      </c>
      <c r="J6" s="71">
        <f>H6+I6</f>
        <v>809100000</v>
      </c>
      <c r="K6" s="76">
        <f>G6+J6</f>
        <v>1568200000</v>
      </c>
      <c r="L6" s="65">
        <f>L7+L8</f>
        <v>389600000</v>
      </c>
      <c r="M6" s="65">
        <f>M7+M8</f>
        <v>392300000</v>
      </c>
      <c r="N6" s="71">
        <f>L6+M6</f>
        <v>781900000</v>
      </c>
      <c r="O6" s="65">
        <f>O7+O8</f>
        <v>395800000</v>
      </c>
      <c r="P6" s="7">
        <f>P7+P8</f>
        <v>0</v>
      </c>
      <c r="Q6" s="71">
        <f>O6+P6</f>
        <v>395800000</v>
      </c>
      <c r="R6" s="80">
        <f>N6+Q6</f>
        <v>1177700000</v>
      </c>
      <c r="S6" s="4"/>
      <c r="T6" s="44">
        <f t="shared" ref="T6:W10" si="1">L6/E6-1</f>
        <v>3.6721660457690319E-2</v>
      </c>
      <c r="U6" s="44">
        <f t="shared" si="1"/>
        <v>2.3480302635011663E-2</v>
      </c>
      <c r="V6" s="45">
        <f t="shared" si="1"/>
        <v>3.0035568436306059E-2</v>
      </c>
      <c r="W6" s="44">
        <f t="shared" si="1"/>
        <v>3.0410542321337442E-3</v>
      </c>
      <c r="X6" s="44"/>
      <c r="Y6" s="45"/>
      <c r="Z6" s="14"/>
    </row>
    <row r="7" spans="3:26" s="3" customFormat="1" ht="45" customHeight="1" x14ac:dyDescent="0.2">
      <c r="C7" s="147"/>
      <c r="D7" s="58" t="s">
        <v>26</v>
      </c>
      <c r="E7" s="66">
        <v>277600000</v>
      </c>
      <c r="F7" s="68">
        <v>282100000</v>
      </c>
      <c r="G7" s="72">
        <f>E7+F7</f>
        <v>559700000</v>
      </c>
      <c r="H7" s="68">
        <v>289500000</v>
      </c>
      <c r="I7" s="68">
        <v>293300000</v>
      </c>
      <c r="J7" s="72">
        <f>H7+I7</f>
        <v>582800000</v>
      </c>
      <c r="K7" s="77">
        <f>G7+J7</f>
        <v>1142500000</v>
      </c>
      <c r="L7" s="68">
        <v>282400000</v>
      </c>
      <c r="M7" s="68">
        <v>281300000</v>
      </c>
      <c r="N7" s="72">
        <f>L7+M7</f>
        <v>563700000</v>
      </c>
      <c r="O7" s="68">
        <v>286100000</v>
      </c>
      <c r="P7" s="39"/>
      <c r="Q7" s="72">
        <f>O7+P7</f>
        <v>286100000</v>
      </c>
      <c r="R7" s="81">
        <f>N7+Q7</f>
        <v>849800000</v>
      </c>
      <c r="S7" s="40"/>
      <c r="T7" s="44">
        <f t="shared" si="1"/>
        <v>1.7291066282420831E-2</v>
      </c>
      <c r="U7" s="44">
        <f t="shared" si="1"/>
        <v>-2.8358738036157183E-3</v>
      </c>
      <c r="V7" s="45">
        <f t="shared" si="1"/>
        <v>7.1466857244952831E-3</v>
      </c>
      <c r="W7" s="56">
        <f t="shared" si="1"/>
        <v>-1.1744386873920543E-2</v>
      </c>
      <c r="X7" s="41"/>
      <c r="Y7" s="42"/>
      <c r="Z7" s="14"/>
    </row>
    <row r="8" spans="3:26" s="3" customFormat="1" ht="45" customHeight="1" x14ac:dyDescent="0.2">
      <c r="C8" s="147"/>
      <c r="D8" s="58" t="s">
        <v>27</v>
      </c>
      <c r="E8" s="66">
        <v>98200000</v>
      </c>
      <c r="F8" s="68">
        <v>101200000</v>
      </c>
      <c r="G8" s="72">
        <f>E8+F8</f>
        <v>199400000</v>
      </c>
      <c r="H8" s="68">
        <v>105100000</v>
      </c>
      <c r="I8" s="68">
        <v>121200000</v>
      </c>
      <c r="J8" s="72">
        <f>H8+I8</f>
        <v>226300000</v>
      </c>
      <c r="K8" s="77">
        <f>G8+J8</f>
        <v>425700000</v>
      </c>
      <c r="L8" s="68">
        <v>107200000</v>
      </c>
      <c r="M8" s="68">
        <v>111000000</v>
      </c>
      <c r="N8" s="72">
        <f>L8+M8</f>
        <v>218200000</v>
      </c>
      <c r="O8" s="68">
        <v>109700000</v>
      </c>
      <c r="P8" s="39"/>
      <c r="Q8" s="72">
        <f>O8+P8</f>
        <v>109700000</v>
      </c>
      <c r="R8" s="81">
        <f>N8+Q8</f>
        <v>327900000</v>
      </c>
      <c r="S8" s="40"/>
      <c r="T8" s="44">
        <f t="shared" si="1"/>
        <v>9.1649694501018342E-2</v>
      </c>
      <c r="U8" s="44">
        <f t="shared" si="1"/>
        <v>9.6837944664031728E-2</v>
      </c>
      <c r="V8" s="45">
        <f t="shared" si="1"/>
        <v>9.4282848545636844E-2</v>
      </c>
      <c r="W8" s="44">
        <f t="shared" si="1"/>
        <v>4.3767840152235893E-2</v>
      </c>
      <c r="X8" s="41"/>
      <c r="Y8" s="42"/>
      <c r="Z8" s="14"/>
    </row>
    <row r="9" spans="3:26" s="3" customFormat="1" ht="45" customHeight="1" x14ac:dyDescent="0.2">
      <c r="C9" s="147"/>
      <c r="D9" s="30" t="s">
        <v>44</v>
      </c>
      <c r="E9" s="65">
        <v>13200000</v>
      </c>
      <c r="F9" s="65">
        <v>49700000</v>
      </c>
      <c r="G9" s="71">
        <f>E9+F9</f>
        <v>62900000</v>
      </c>
      <c r="H9" s="65">
        <v>45400000</v>
      </c>
      <c r="I9" s="65">
        <v>53200000</v>
      </c>
      <c r="J9" s="71">
        <f>H9+I9</f>
        <v>98600000</v>
      </c>
      <c r="K9" s="76">
        <f>G9+J9</f>
        <v>161500000</v>
      </c>
      <c r="L9" s="65">
        <v>17100000</v>
      </c>
      <c r="M9" s="65">
        <v>49300000</v>
      </c>
      <c r="N9" s="71">
        <f>L9+M9</f>
        <v>66400000</v>
      </c>
      <c r="O9" s="65">
        <v>45200000</v>
      </c>
      <c r="P9" s="7"/>
      <c r="Q9" s="71">
        <f>O9+P9</f>
        <v>45200000</v>
      </c>
      <c r="R9" s="80">
        <f>N9+Q9</f>
        <v>111600000</v>
      </c>
      <c r="S9" s="4"/>
      <c r="T9" s="44">
        <f t="shared" si="1"/>
        <v>0.29545454545454541</v>
      </c>
      <c r="U9" s="56" t="s">
        <v>237</v>
      </c>
      <c r="V9" s="45">
        <f t="shared" si="1"/>
        <v>5.5643879173290944E-2</v>
      </c>
      <c r="W9" s="44">
        <f t="shared" si="1"/>
        <v>-4.405286343612369E-3</v>
      </c>
      <c r="X9" s="5"/>
      <c r="Y9" s="12"/>
      <c r="Z9" s="14"/>
    </row>
    <row r="10" spans="3:26" s="3" customFormat="1" ht="45" customHeight="1" thickBot="1" x14ac:dyDescent="0.25">
      <c r="C10" s="156"/>
      <c r="D10" s="31" t="s">
        <v>45</v>
      </c>
      <c r="E10" s="67">
        <v>22800000</v>
      </c>
      <c r="F10" s="67">
        <v>19700000</v>
      </c>
      <c r="G10" s="73">
        <f>E10+F10</f>
        <v>42500000</v>
      </c>
      <c r="H10" s="67">
        <v>32700000</v>
      </c>
      <c r="I10" s="67">
        <v>27100000</v>
      </c>
      <c r="J10" s="73">
        <f>H10+I10</f>
        <v>59800000</v>
      </c>
      <c r="K10" s="78">
        <f>G10+J10</f>
        <v>102300000</v>
      </c>
      <c r="L10" s="67">
        <v>23100000</v>
      </c>
      <c r="M10" s="67">
        <v>25800000</v>
      </c>
      <c r="N10" s="73">
        <f>L10+M10</f>
        <v>48900000</v>
      </c>
      <c r="O10" s="67">
        <v>25900000</v>
      </c>
      <c r="P10" s="9"/>
      <c r="Q10" s="73">
        <f>O10+P10</f>
        <v>25900000</v>
      </c>
      <c r="R10" s="82">
        <f>N10+Q10</f>
        <v>74800000</v>
      </c>
      <c r="S10" s="10"/>
      <c r="T10" s="54">
        <f t="shared" si="1"/>
        <v>1.3157894736842035E-2</v>
      </c>
      <c r="U10" s="54">
        <f t="shared" si="1"/>
        <v>0.30964467005076135</v>
      </c>
      <c r="V10" s="53">
        <f t="shared" si="1"/>
        <v>0.15058823529411769</v>
      </c>
      <c r="W10" s="57">
        <f t="shared" si="1"/>
        <v>-0.20795107033639149</v>
      </c>
      <c r="X10" s="11"/>
      <c r="Y10" s="13"/>
      <c r="Z10" s="15"/>
    </row>
    <row r="11" spans="3:26" s="3" customFormat="1" ht="45" customHeight="1" thickTop="1" x14ac:dyDescent="0.2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3:26" s="3" customFormat="1" ht="45" customHeight="1" x14ac:dyDescent="0.2">
      <c r="C12" s="155" t="s">
        <v>28</v>
      </c>
      <c r="D12" s="30" t="s">
        <v>25</v>
      </c>
      <c r="E12" s="5">
        <f t="shared" ref="E12:O12" si="2">E6/(E$4-E$5)</f>
        <v>0.9125789218067023</v>
      </c>
      <c r="F12" s="5">
        <f t="shared" si="2"/>
        <v>0.84669759222443119</v>
      </c>
      <c r="G12" s="12">
        <f t="shared" si="2"/>
        <v>0.87807981492192022</v>
      </c>
      <c r="H12" s="5">
        <f t="shared" si="2"/>
        <v>0.83477892955362809</v>
      </c>
      <c r="I12" s="5">
        <f t="shared" si="2"/>
        <v>0.83771220695230397</v>
      </c>
      <c r="J12" s="12">
        <f t="shared" si="2"/>
        <v>0.83627906976744182</v>
      </c>
      <c r="K12" s="62">
        <f t="shared" si="2"/>
        <v>0.85600436681222702</v>
      </c>
      <c r="L12" s="5">
        <f t="shared" si="2"/>
        <v>0.90646812470916704</v>
      </c>
      <c r="M12" s="5">
        <f t="shared" si="2"/>
        <v>0.83932391955498498</v>
      </c>
      <c r="N12" s="12">
        <f t="shared" si="2"/>
        <v>0.87148907712884527</v>
      </c>
      <c r="O12" s="5">
        <f t="shared" si="2"/>
        <v>0.84771899764403513</v>
      </c>
      <c r="P12" s="5"/>
      <c r="Q12" s="12">
        <f>Q6/(Q$4-Q$5)</f>
        <v>0.84771899764403513</v>
      </c>
      <c r="R12" s="62">
        <f>R6/(R$4-R$5)</f>
        <v>0.8633531266036214</v>
      </c>
      <c r="S12" s="5"/>
      <c r="T12" s="1"/>
      <c r="U12" s="1"/>
      <c r="V12" s="1"/>
      <c r="W12" s="1"/>
      <c r="X12" s="1"/>
      <c r="Y12" s="1"/>
      <c r="Z12" s="1"/>
    </row>
    <row r="13" spans="3:26" s="3" customFormat="1" ht="45" customHeight="1" x14ac:dyDescent="0.2">
      <c r="C13" s="147"/>
      <c r="D13" s="58" t="s">
        <v>26</v>
      </c>
      <c r="E13" s="59">
        <f t="shared" ref="E13:O13" si="3">E7/E6</f>
        <v>0.73869079297498674</v>
      </c>
      <c r="F13" s="59">
        <f t="shared" si="3"/>
        <v>0.73597704148186804</v>
      </c>
      <c r="G13" s="60">
        <f t="shared" si="3"/>
        <v>0.73732051113160324</v>
      </c>
      <c r="H13" s="59">
        <f t="shared" si="3"/>
        <v>0.73365433350228082</v>
      </c>
      <c r="I13" s="59">
        <f t="shared" si="3"/>
        <v>0.70759951749095296</v>
      </c>
      <c r="J13" s="60">
        <f t="shared" si="3"/>
        <v>0.72030651340996166</v>
      </c>
      <c r="K13" s="61">
        <f t="shared" si="3"/>
        <v>0.72854227777069247</v>
      </c>
      <c r="L13" s="59">
        <f t="shared" si="3"/>
        <v>0.72484599589322385</v>
      </c>
      <c r="M13" s="59">
        <f t="shared" si="3"/>
        <v>0.71705327555442266</v>
      </c>
      <c r="N13" s="60">
        <f t="shared" si="3"/>
        <v>0.72093618109732704</v>
      </c>
      <c r="O13" s="59">
        <f t="shared" si="3"/>
        <v>0.72283981808994446</v>
      </c>
      <c r="P13" s="59"/>
      <c r="Q13" s="60">
        <f>Q7/Q6</f>
        <v>0.72283981808994446</v>
      </c>
      <c r="R13" s="61">
        <f>R7/R6</f>
        <v>0.72157595312898026</v>
      </c>
      <c r="S13" s="41"/>
      <c r="T13" s="1"/>
      <c r="U13" s="1"/>
      <c r="V13" s="1"/>
      <c r="W13" s="1"/>
      <c r="X13" s="1"/>
      <c r="Y13" s="1"/>
      <c r="Z13" s="1"/>
    </row>
    <row r="14" spans="3:26" s="3" customFormat="1" ht="45" customHeight="1" x14ac:dyDescent="0.2">
      <c r="C14" s="147"/>
      <c r="D14" s="58" t="s">
        <v>27</v>
      </c>
      <c r="E14" s="59">
        <f t="shared" ref="E14:O14" si="4">E8/E6</f>
        <v>0.26130920702501331</v>
      </c>
      <c r="F14" s="59">
        <f t="shared" si="4"/>
        <v>0.26402295851813201</v>
      </c>
      <c r="G14" s="60">
        <f t="shared" si="4"/>
        <v>0.26267948886839676</v>
      </c>
      <c r="H14" s="59">
        <f t="shared" si="4"/>
        <v>0.26634566649771924</v>
      </c>
      <c r="I14" s="59">
        <f t="shared" si="4"/>
        <v>0.29240048250904704</v>
      </c>
      <c r="J14" s="60">
        <f t="shared" si="4"/>
        <v>0.27969348659003829</v>
      </c>
      <c r="K14" s="61">
        <f t="shared" si="4"/>
        <v>0.27145772222930747</v>
      </c>
      <c r="L14" s="59">
        <f t="shared" si="4"/>
        <v>0.27515400410677621</v>
      </c>
      <c r="M14" s="59">
        <f t="shared" si="4"/>
        <v>0.28294672444557739</v>
      </c>
      <c r="N14" s="60">
        <f t="shared" si="4"/>
        <v>0.27906381890267296</v>
      </c>
      <c r="O14" s="59">
        <f t="shared" si="4"/>
        <v>0.27716018191005559</v>
      </c>
      <c r="P14" s="59"/>
      <c r="Q14" s="60">
        <f>Q8/Q6</f>
        <v>0.27716018191005559</v>
      </c>
      <c r="R14" s="61">
        <f>R8/R6</f>
        <v>0.27842404687101979</v>
      </c>
      <c r="S14" s="41"/>
      <c r="T14" s="1"/>
      <c r="U14" s="1"/>
      <c r="V14" s="1"/>
      <c r="W14" s="1"/>
      <c r="X14" s="1"/>
      <c r="Y14" s="1"/>
      <c r="Z14" s="1"/>
    </row>
    <row r="15" spans="3:26" s="3" customFormat="1" ht="45" customHeight="1" x14ac:dyDescent="0.2">
      <c r="C15" s="147"/>
      <c r="D15" s="30" t="s">
        <v>44</v>
      </c>
      <c r="E15" s="5">
        <f t="shared" ref="E15:O15" si="5">E9/(E$4-E$5)</f>
        <v>3.2054395337542493E-2</v>
      </c>
      <c r="F15" s="5">
        <f t="shared" si="5"/>
        <v>0.10978573006406009</v>
      </c>
      <c r="G15" s="12">
        <f t="shared" si="5"/>
        <v>7.2758820127241178E-2</v>
      </c>
      <c r="H15" s="5">
        <f t="shared" si="5"/>
        <v>9.6044002538607995E-2</v>
      </c>
      <c r="I15" s="5">
        <f t="shared" si="5"/>
        <v>0.10751818916734034</v>
      </c>
      <c r="J15" s="12">
        <f t="shared" si="5"/>
        <v>0.10191214470284238</v>
      </c>
      <c r="K15" s="62">
        <f t="shared" si="5"/>
        <v>8.815502183406114E-2</v>
      </c>
      <c r="L15" s="5">
        <f t="shared" si="5"/>
        <v>3.978594695207073E-2</v>
      </c>
      <c r="M15" s="5">
        <f t="shared" si="5"/>
        <v>0.10547710740265297</v>
      </c>
      <c r="N15" s="12">
        <f t="shared" si="5"/>
        <v>7.4008024966562641E-2</v>
      </c>
      <c r="O15" s="5">
        <f t="shared" si="5"/>
        <v>9.6808738487898907E-2</v>
      </c>
      <c r="P15" s="5"/>
      <c r="Q15" s="12">
        <f>Q9/(Q$4-Q$5)</f>
        <v>9.6808738487898907E-2</v>
      </c>
      <c r="R15" s="62">
        <f>R9/(R$4-R$5)</f>
        <v>8.1812183857488452E-2</v>
      </c>
      <c r="S15" s="5"/>
      <c r="T15" s="1"/>
      <c r="U15" s="1"/>
      <c r="V15" s="1"/>
      <c r="W15" s="1"/>
      <c r="X15" s="1"/>
      <c r="Y15" s="1"/>
      <c r="Z15" s="1"/>
    </row>
    <row r="16" spans="3:26" s="3" customFormat="1" ht="45" customHeight="1" thickBot="1" x14ac:dyDescent="0.25">
      <c r="C16" s="156"/>
      <c r="D16" s="31" t="s">
        <v>45</v>
      </c>
      <c r="E16" s="11">
        <f t="shared" ref="E16:O16" si="6">E10/(E$4-E$5)</f>
        <v>5.5366682855755224E-2</v>
      </c>
      <c r="F16" s="11">
        <f t="shared" si="6"/>
        <v>4.3516677711508724E-2</v>
      </c>
      <c r="G16" s="13">
        <f t="shared" si="6"/>
        <v>4.9161364950838636E-2</v>
      </c>
      <c r="H16" s="11">
        <f t="shared" si="6"/>
        <v>6.9177067907763914E-2</v>
      </c>
      <c r="I16" s="11">
        <f t="shared" si="6"/>
        <v>5.4769603880355698E-2</v>
      </c>
      <c r="J16" s="13">
        <f t="shared" si="6"/>
        <v>6.1808785529715762E-2</v>
      </c>
      <c r="K16" s="49">
        <f t="shared" si="6"/>
        <v>5.5840611353711787E-2</v>
      </c>
      <c r="L16" s="11">
        <f t="shared" si="6"/>
        <v>5.3745928338762218E-2</v>
      </c>
      <c r="M16" s="11">
        <f t="shared" si="6"/>
        <v>5.5198973042362001E-2</v>
      </c>
      <c r="N16" s="13">
        <f t="shared" si="6"/>
        <v>5.4502897904592063E-2</v>
      </c>
      <c r="O16" s="11">
        <f t="shared" si="6"/>
        <v>5.5472263868065967E-2</v>
      </c>
      <c r="P16" s="11"/>
      <c r="Q16" s="13">
        <f>Q10/(Q$4-Q$5)</f>
        <v>5.5472263868065967E-2</v>
      </c>
      <c r="R16" s="49">
        <f>R10/(R$4-R$5)</f>
        <v>5.4834689538890112E-2</v>
      </c>
      <c r="S16" s="5"/>
      <c r="T16" s="1"/>
      <c r="U16" s="1"/>
      <c r="V16" s="1"/>
      <c r="W16" s="1"/>
      <c r="X16" s="1"/>
      <c r="Y16" s="1"/>
      <c r="Z16" s="1"/>
    </row>
    <row r="17" spans="3:26" s="3" customFormat="1" ht="45" customHeight="1" thickTop="1" x14ac:dyDescent="0.2">
      <c r="C17" s="43"/>
      <c r="D17" s="30"/>
      <c r="E17" s="5"/>
      <c r="F17" s="5"/>
      <c r="G17" s="28"/>
      <c r="H17" s="5"/>
      <c r="I17" s="5"/>
      <c r="J17" s="28"/>
      <c r="K17" s="47"/>
      <c r="L17" s="5"/>
      <c r="M17" s="5"/>
      <c r="N17" s="28"/>
      <c r="O17" s="5"/>
      <c r="P17" s="5"/>
      <c r="Q17" s="28"/>
      <c r="R17" s="47"/>
      <c r="S17" s="5"/>
      <c r="T17" s="5"/>
      <c r="U17" s="5"/>
      <c r="V17" s="5"/>
      <c r="W17" s="25"/>
      <c r="X17" s="5"/>
      <c r="Y17" s="5"/>
      <c r="Z17" s="5"/>
    </row>
    <row r="18" spans="3:26" s="3" customFormat="1" ht="45" customHeight="1" x14ac:dyDescent="0.2">
      <c r="C18" s="43"/>
      <c r="D18" s="30"/>
      <c r="E18" s="7"/>
      <c r="F18" s="7"/>
      <c r="G18" s="26"/>
      <c r="H18" s="7"/>
      <c r="I18" s="7"/>
      <c r="J18" s="26"/>
      <c r="K18" s="48"/>
      <c r="L18" s="7"/>
      <c r="M18" s="7"/>
      <c r="N18" s="26"/>
      <c r="O18" s="7"/>
      <c r="P18" s="7"/>
      <c r="Q18" s="26"/>
      <c r="R18" s="48"/>
      <c r="S18" s="4"/>
      <c r="T18" s="5"/>
      <c r="U18" s="5"/>
      <c r="V18" s="5"/>
      <c r="W18" s="25"/>
      <c r="X18" s="5"/>
      <c r="Y18" s="5"/>
      <c r="Z18" s="5"/>
    </row>
    <row r="19" spans="3:26" s="3" customFormat="1" ht="45" customHeight="1" x14ac:dyDescent="0.2">
      <c r="C19" s="157" t="s">
        <v>29</v>
      </c>
      <c r="D19" s="6" t="s">
        <v>23</v>
      </c>
      <c r="E19" s="83">
        <v>184500000</v>
      </c>
      <c r="F19" s="83">
        <v>191500000</v>
      </c>
      <c r="G19" s="84">
        <f>E19+F19</f>
        <v>376000000</v>
      </c>
      <c r="H19" s="83">
        <v>216900000</v>
      </c>
      <c r="I19" s="83">
        <v>187300000</v>
      </c>
      <c r="J19" s="84">
        <f>H19+I19</f>
        <v>404200000</v>
      </c>
      <c r="K19" s="74">
        <f>G19+J19</f>
        <v>780200000</v>
      </c>
      <c r="L19" s="83">
        <v>192300000</v>
      </c>
      <c r="M19" s="83">
        <v>202900000</v>
      </c>
      <c r="N19" s="84">
        <f>L19+M19</f>
        <v>395200000</v>
      </c>
      <c r="O19" s="83">
        <v>222700000</v>
      </c>
      <c r="P19" s="83"/>
      <c r="Q19" s="84">
        <f>O19+P19</f>
        <v>222700000</v>
      </c>
      <c r="R19" s="74">
        <f>N19+Q19</f>
        <v>617900000</v>
      </c>
      <c r="S19" s="27"/>
      <c r="T19" s="37">
        <f t="shared" ref="T19:W22" si="7">L19/E19-1</f>
        <v>4.2276422764227606E-2</v>
      </c>
      <c r="U19" s="37">
        <f t="shared" si="7"/>
        <v>5.9530026109660517E-2</v>
      </c>
      <c r="V19" s="38">
        <f t="shared" si="7"/>
        <v>5.1063829787234116E-2</v>
      </c>
      <c r="W19" s="37">
        <f t="shared" si="7"/>
        <v>2.6740433379437434E-2</v>
      </c>
      <c r="X19" s="28"/>
      <c r="Y19" s="29"/>
      <c r="Z19" s="14"/>
    </row>
    <row r="20" spans="3:26" s="3" customFormat="1" ht="45" customHeight="1" x14ac:dyDescent="0.2">
      <c r="C20" s="147"/>
      <c r="D20" s="30" t="s">
        <v>25</v>
      </c>
      <c r="E20" s="65">
        <v>172100000</v>
      </c>
      <c r="F20" s="65">
        <v>177300000</v>
      </c>
      <c r="G20" s="86">
        <f>E20+F20</f>
        <v>349400000</v>
      </c>
      <c r="H20" s="87">
        <v>196400000</v>
      </c>
      <c r="I20" s="87">
        <v>169000000</v>
      </c>
      <c r="J20" s="86">
        <f>H20+I20</f>
        <v>365400000</v>
      </c>
      <c r="K20" s="80">
        <f>G20+J20</f>
        <v>714800000</v>
      </c>
      <c r="L20" s="87">
        <v>179600000</v>
      </c>
      <c r="M20" s="87">
        <v>184700000</v>
      </c>
      <c r="N20" s="86">
        <f>L20+M20</f>
        <v>364300000</v>
      </c>
      <c r="O20" s="87">
        <v>204800000</v>
      </c>
      <c r="P20" s="87"/>
      <c r="Q20" s="86">
        <f>O20+P20</f>
        <v>204800000</v>
      </c>
      <c r="R20" s="80">
        <f>N20+Q20</f>
        <v>569100000</v>
      </c>
      <c r="S20" s="27"/>
      <c r="T20" s="44">
        <f t="shared" si="7"/>
        <v>4.3579314352120813E-2</v>
      </c>
      <c r="U20" s="44">
        <f t="shared" si="7"/>
        <v>4.1737168640721967E-2</v>
      </c>
      <c r="V20" s="45">
        <f t="shared" si="7"/>
        <v>4.2644533485975966E-2</v>
      </c>
      <c r="W20" s="44">
        <f t="shared" si="7"/>
        <v>4.2769857433808456E-2</v>
      </c>
      <c r="X20" s="28"/>
      <c r="Y20" s="29"/>
      <c r="Z20" s="14"/>
    </row>
    <row r="21" spans="3:26" s="3" customFormat="1" ht="45" customHeight="1" x14ac:dyDescent="0.2">
      <c r="C21" s="147"/>
      <c r="D21" s="30" t="s">
        <v>44</v>
      </c>
      <c r="E21" s="65">
        <v>1700000</v>
      </c>
      <c r="F21" s="65">
        <v>5500000</v>
      </c>
      <c r="G21" s="86">
        <f>E21+F21</f>
        <v>7200000</v>
      </c>
      <c r="H21" s="87">
        <v>5300000</v>
      </c>
      <c r="I21" s="87">
        <v>6100000</v>
      </c>
      <c r="J21" s="86">
        <f>H21+I21</f>
        <v>11400000</v>
      </c>
      <c r="K21" s="80">
        <f>G21+J21</f>
        <v>18600000</v>
      </c>
      <c r="L21" s="87">
        <v>1900000</v>
      </c>
      <c r="M21" s="87">
        <v>6500000</v>
      </c>
      <c r="N21" s="86">
        <f>L21+M21</f>
        <v>8400000</v>
      </c>
      <c r="O21" s="87">
        <v>5900000</v>
      </c>
      <c r="P21" s="87"/>
      <c r="Q21" s="86">
        <f>O21+P21</f>
        <v>5900000</v>
      </c>
      <c r="R21" s="80">
        <f>N21+Q21</f>
        <v>14300000</v>
      </c>
      <c r="S21" s="4"/>
      <c r="T21" s="44">
        <f t="shared" si="7"/>
        <v>0.11764705882352944</v>
      </c>
      <c r="U21" s="44">
        <f t="shared" si="7"/>
        <v>0.18181818181818188</v>
      </c>
      <c r="V21" s="45">
        <f t="shared" si="7"/>
        <v>0.16666666666666674</v>
      </c>
      <c r="W21" s="44">
        <f t="shared" si="7"/>
        <v>0.1132075471698113</v>
      </c>
      <c r="X21" s="5"/>
      <c r="Y21" s="12"/>
      <c r="Z21" s="14"/>
    </row>
    <row r="22" spans="3:26" s="3" customFormat="1" ht="45" customHeight="1" thickBot="1" x14ac:dyDescent="0.25">
      <c r="C22" s="156"/>
      <c r="D22" s="31" t="s">
        <v>45</v>
      </c>
      <c r="E22" s="67">
        <v>10600000</v>
      </c>
      <c r="F22" s="67">
        <v>8700000</v>
      </c>
      <c r="G22" s="46">
        <f>E22+F22</f>
        <v>19300000</v>
      </c>
      <c r="H22" s="88">
        <v>15200000</v>
      </c>
      <c r="I22" s="88">
        <v>12200000</v>
      </c>
      <c r="J22" s="46">
        <f>H22+I22</f>
        <v>27400000</v>
      </c>
      <c r="K22" s="82">
        <f>G22+J22</f>
        <v>46700000</v>
      </c>
      <c r="L22" s="88">
        <v>10900000</v>
      </c>
      <c r="M22" s="88">
        <v>11700000</v>
      </c>
      <c r="N22" s="46">
        <f>L22+M22</f>
        <v>22600000</v>
      </c>
      <c r="O22" s="88">
        <v>12000000</v>
      </c>
      <c r="P22" s="88"/>
      <c r="Q22" s="46">
        <f>O22+P22</f>
        <v>12000000</v>
      </c>
      <c r="R22" s="82">
        <f>N22+Q22</f>
        <v>34600000</v>
      </c>
      <c r="S22" s="10"/>
      <c r="T22" s="54">
        <f t="shared" si="7"/>
        <v>2.8301886792452935E-2</v>
      </c>
      <c r="U22" s="54">
        <f t="shared" si="7"/>
        <v>0.34482758620689657</v>
      </c>
      <c r="V22" s="53">
        <f t="shared" si="7"/>
        <v>0.17098445595854916</v>
      </c>
      <c r="W22" s="57">
        <f t="shared" si="7"/>
        <v>-0.21052631578947367</v>
      </c>
      <c r="X22" s="11"/>
      <c r="Y22" s="13"/>
      <c r="Z22" s="15"/>
    </row>
    <row r="23" spans="3:26" s="3" customFormat="1" ht="45" customHeight="1" thickTop="1" x14ac:dyDescent="0.2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3:26" s="3" customFormat="1" ht="45" customHeight="1" x14ac:dyDescent="0.2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3:26" s="3" customFormat="1" ht="45" customHeight="1" x14ac:dyDescent="0.2">
      <c r="C25" s="158" t="s">
        <v>30</v>
      </c>
      <c r="D25" s="6" t="s">
        <v>23</v>
      </c>
      <c r="E25" s="28">
        <f t="shared" ref="E25:O25" si="8">E19/E4</f>
        <v>0.45747582444830154</v>
      </c>
      <c r="F25" s="28">
        <f t="shared" si="8"/>
        <v>0.43111211166141378</v>
      </c>
      <c r="G25" s="29">
        <f t="shared" si="8"/>
        <v>0.44365781710914454</v>
      </c>
      <c r="H25" s="28">
        <f t="shared" si="8"/>
        <v>0.46866897147796022</v>
      </c>
      <c r="I25" s="28">
        <f t="shared" si="8"/>
        <v>0.38626520932150959</v>
      </c>
      <c r="J25" s="29">
        <f t="shared" si="8"/>
        <v>0.42650627835813021</v>
      </c>
      <c r="K25" s="90">
        <f t="shared" si="8"/>
        <v>0.43460338680926919</v>
      </c>
      <c r="L25" s="28">
        <f t="shared" si="8"/>
        <v>0.4563360227812055</v>
      </c>
      <c r="M25" s="28">
        <f t="shared" si="8"/>
        <v>0.44281972937581843</v>
      </c>
      <c r="N25" s="29">
        <f t="shared" si="8"/>
        <v>0.44929513415188721</v>
      </c>
      <c r="O25" s="28">
        <f t="shared" si="8"/>
        <v>0.48698884758364314</v>
      </c>
      <c r="P25" s="28"/>
      <c r="Q25" s="29">
        <f>Q19/Q4</f>
        <v>0.48698884758364314</v>
      </c>
      <c r="R25" s="90">
        <f>R19/R4</f>
        <v>0.46218864537362553</v>
      </c>
      <c r="S25" s="5"/>
      <c r="T25" s="37">
        <f t="shared" ref="T25:W28" si="9">L25-E25</f>
        <v>-1.1398016670960409E-3</v>
      </c>
      <c r="U25" s="37">
        <f t="shared" si="9"/>
        <v>1.170761771440465E-2</v>
      </c>
      <c r="V25" s="38">
        <f t="shared" si="9"/>
        <v>5.6373170427426733E-3</v>
      </c>
      <c r="W25" s="37">
        <f t="shared" si="9"/>
        <v>1.831987610568292E-2</v>
      </c>
      <c r="X25" s="5"/>
      <c r="Y25" s="20"/>
      <c r="Z25" s="21"/>
    </row>
    <row r="26" spans="3:26" s="3" customFormat="1" ht="45" customHeight="1" x14ac:dyDescent="0.2">
      <c r="C26" s="147"/>
      <c r="D26" s="30" t="s">
        <v>25</v>
      </c>
      <c r="E26" s="16">
        <f t="shared" ref="E26:O26" si="10">E20/E6</f>
        <v>0.45795635976583288</v>
      </c>
      <c r="F26" s="16">
        <f t="shared" si="10"/>
        <v>0.46256196190973126</v>
      </c>
      <c r="G26" s="17">
        <f t="shared" si="10"/>
        <v>0.46028191279146358</v>
      </c>
      <c r="H26" s="16">
        <f t="shared" si="10"/>
        <v>0.49771920932589964</v>
      </c>
      <c r="I26" s="16">
        <f t="shared" si="10"/>
        <v>0.40772014475271412</v>
      </c>
      <c r="J26" s="17">
        <f t="shared" si="10"/>
        <v>0.45161290322580644</v>
      </c>
      <c r="K26" s="91">
        <f t="shared" si="10"/>
        <v>0.45580920800918251</v>
      </c>
      <c r="L26" s="16">
        <f t="shared" si="10"/>
        <v>0.46098562628336753</v>
      </c>
      <c r="M26" s="16">
        <f t="shared" si="10"/>
        <v>0.47081315319908235</v>
      </c>
      <c r="N26" s="17">
        <f t="shared" si="10"/>
        <v>0.46591635759048472</v>
      </c>
      <c r="O26" s="16">
        <f t="shared" si="10"/>
        <v>0.51743304699343107</v>
      </c>
      <c r="P26" s="16"/>
      <c r="Q26" s="17">
        <f>Q20/Q6</f>
        <v>0.51743304699343107</v>
      </c>
      <c r="R26" s="91">
        <f>R20/R6</f>
        <v>0.48323002462426762</v>
      </c>
      <c r="S26" s="16"/>
      <c r="T26" s="5">
        <f t="shared" si="9"/>
        <v>3.0292665175346567E-3</v>
      </c>
      <c r="U26" s="5">
        <f t="shared" si="9"/>
        <v>8.2511912893510897E-3</v>
      </c>
      <c r="V26" s="12">
        <f t="shared" si="9"/>
        <v>5.6344447990211433E-3</v>
      </c>
      <c r="W26" s="5">
        <f t="shared" si="9"/>
        <v>1.9713837667531431E-2</v>
      </c>
      <c r="X26" s="19"/>
      <c r="Y26" s="20"/>
      <c r="Z26" s="21"/>
    </row>
    <row r="27" spans="3:26" s="3" customFormat="1" ht="45" customHeight="1" x14ac:dyDescent="0.2">
      <c r="C27" s="147"/>
      <c r="D27" s="30" t="s">
        <v>44</v>
      </c>
      <c r="E27" s="16">
        <f t="shared" ref="E27:O27" si="11">E21/E9</f>
        <v>0.12878787878787878</v>
      </c>
      <c r="F27" s="16">
        <f t="shared" si="11"/>
        <v>0.11066398390342053</v>
      </c>
      <c r="G27" s="17">
        <f t="shared" si="11"/>
        <v>0.11446740858505565</v>
      </c>
      <c r="H27" s="16">
        <f t="shared" si="11"/>
        <v>0.11674008810572688</v>
      </c>
      <c r="I27" s="16">
        <f t="shared" si="11"/>
        <v>0.11466165413533834</v>
      </c>
      <c r="J27" s="17">
        <f t="shared" si="11"/>
        <v>0.11561866125760649</v>
      </c>
      <c r="K27" s="91">
        <f t="shared" si="11"/>
        <v>0.11517027863777089</v>
      </c>
      <c r="L27" s="16">
        <f t="shared" si="11"/>
        <v>0.1111111111111111</v>
      </c>
      <c r="M27" s="16">
        <f t="shared" si="11"/>
        <v>0.13184584178498987</v>
      </c>
      <c r="N27" s="17">
        <f t="shared" si="11"/>
        <v>0.12650602409638553</v>
      </c>
      <c r="O27" s="16">
        <f t="shared" si="11"/>
        <v>0.13053097345132744</v>
      </c>
      <c r="P27" s="16"/>
      <c r="Q27" s="17">
        <f>Q21/Q9</f>
        <v>0.13053097345132744</v>
      </c>
      <c r="R27" s="91">
        <f>R21/R9</f>
        <v>0.12813620071684587</v>
      </c>
      <c r="S27" s="16"/>
      <c r="T27" s="5">
        <f t="shared" si="9"/>
        <v>-1.767676767676768E-2</v>
      </c>
      <c r="U27" s="5">
        <f t="shared" si="9"/>
        <v>2.1181857881569344E-2</v>
      </c>
      <c r="V27" s="12">
        <f t="shared" si="9"/>
        <v>1.2038615511329884E-2</v>
      </c>
      <c r="W27" s="5">
        <f t="shared" si="9"/>
        <v>1.3790885345600565E-2</v>
      </c>
      <c r="X27" s="19"/>
      <c r="Y27" s="20"/>
      <c r="Z27" s="21"/>
    </row>
    <row r="28" spans="3:26" s="3" customFormat="1" ht="45" customHeight="1" thickBot="1" x14ac:dyDescent="0.25">
      <c r="C28" s="159"/>
      <c r="D28" s="31" t="s">
        <v>45</v>
      </c>
      <c r="E28" s="18">
        <f t="shared" ref="E28:O28" si="12">E22/E10</f>
        <v>0.46491228070175439</v>
      </c>
      <c r="F28" s="18">
        <f t="shared" si="12"/>
        <v>0.44162436548223349</v>
      </c>
      <c r="G28" s="89">
        <f t="shared" si="12"/>
        <v>0.45411764705882351</v>
      </c>
      <c r="H28" s="18">
        <f t="shared" si="12"/>
        <v>0.46483180428134557</v>
      </c>
      <c r="I28" s="18">
        <f t="shared" si="12"/>
        <v>0.45018450184501846</v>
      </c>
      <c r="J28" s="89">
        <f t="shared" si="12"/>
        <v>0.45819397993311034</v>
      </c>
      <c r="K28" s="92">
        <f t="shared" si="12"/>
        <v>0.45650048875855326</v>
      </c>
      <c r="L28" s="18">
        <f t="shared" si="12"/>
        <v>0.47186147186147187</v>
      </c>
      <c r="M28" s="18">
        <f t="shared" si="12"/>
        <v>0.45348837209302323</v>
      </c>
      <c r="N28" s="89">
        <f t="shared" si="12"/>
        <v>0.46216768916155421</v>
      </c>
      <c r="O28" s="18">
        <f t="shared" si="12"/>
        <v>0.46332046332046334</v>
      </c>
      <c r="P28" s="18"/>
      <c r="Q28" s="89">
        <f>Q22/Q10</f>
        <v>0.46332046332046334</v>
      </c>
      <c r="R28" s="92">
        <f>R22/R10</f>
        <v>0.46256684491978611</v>
      </c>
      <c r="S28" s="18"/>
      <c r="T28" s="11">
        <f t="shared" si="9"/>
        <v>6.9491911597174827E-3</v>
      </c>
      <c r="U28" s="11">
        <f t="shared" si="9"/>
        <v>1.1864006610789735E-2</v>
      </c>
      <c r="V28" s="13">
        <f t="shared" si="9"/>
        <v>8.0500421027306923E-3</v>
      </c>
      <c r="W28" s="11">
        <f t="shared" si="9"/>
        <v>-1.5113409608822348E-3</v>
      </c>
      <c r="X28" s="22"/>
      <c r="Y28" s="23"/>
      <c r="Z28" s="24"/>
    </row>
    <row r="29" spans="3:26" s="3" customFormat="1" ht="45" customHeight="1" thickTop="1" x14ac:dyDescent="0.2">
      <c r="C29" s="93"/>
      <c r="D29" s="30"/>
      <c r="E29" s="94"/>
      <c r="F29" s="94"/>
      <c r="G29" s="95"/>
      <c r="H29" s="94"/>
      <c r="I29" s="94"/>
      <c r="J29" s="95"/>
      <c r="K29" s="96"/>
      <c r="L29" s="94"/>
      <c r="M29" s="94"/>
      <c r="N29" s="95"/>
      <c r="O29" s="94"/>
      <c r="P29" s="94"/>
      <c r="Q29" s="95"/>
      <c r="R29" s="96"/>
      <c r="S29" s="94"/>
      <c r="T29" s="97"/>
      <c r="U29" s="97"/>
      <c r="V29" s="97"/>
      <c r="W29" s="98"/>
      <c r="X29" s="99"/>
      <c r="Y29" s="99"/>
      <c r="Z29" s="99"/>
    </row>
    <row r="30" spans="3:26" s="3" customFormat="1" ht="45" customHeight="1" x14ac:dyDescent="0.2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3:26" s="3" customFormat="1" ht="45" customHeight="1" thickBot="1" x14ac:dyDescent="0.25">
      <c r="C31" s="103" t="s">
        <v>38</v>
      </c>
      <c r="D31" s="8" t="s">
        <v>23</v>
      </c>
      <c r="E31" s="88">
        <v>105500000</v>
      </c>
      <c r="F31" s="88">
        <v>111000000</v>
      </c>
      <c r="G31" s="100">
        <f>E31+F31</f>
        <v>216500000</v>
      </c>
      <c r="H31" s="88">
        <v>118400000</v>
      </c>
      <c r="I31" s="88">
        <v>122200000</v>
      </c>
      <c r="J31" s="100">
        <f>H31+I31</f>
        <v>240600000</v>
      </c>
      <c r="K31" s="101">
        <f>G31+J31</f>
        <v>457100000</v>
      </c>
      <c r="L31" s="88">
        <v>107000000</v>
      </c>
      <c r="M31" s="88">
        <v>120700000</v>
      </c>
      <c r="N31" s="100">
        <f>L31+M31</f>
        <v>227700000</v>
      </c>
      <c r="O31" s="88">
        <v>112600000</v>
      </c>
      <c r="P31" s="88"/>
      <c r="Q31" s="100">
        <f>O31+P31</f>
        <v>112600000</v>
      </c>
      <c r="R31" s="101">
        <f>N31+Q31</f>
        <v>340300000</v>
      </c>
      <c r="S31" s="32"/>
      <c r="T31" s="54">
        <f>L31/E31-1</f>
        <v>1.4218009478673022E-2</v>
      </c>
      <c r="U31" s="54">
        <f>M31/F31-1</f>
        <v>8.7387387387387383E-2</v>
      </c>
      <c r="V31" s="53">
        <f>N31/G31-1</f>
        <v>5.1732101616628112E-2</v>
      </c>
      <c r="W31" s="57">
        <f>O31/H31-1</f>
        <v>-4.8986486486486513E-2</v>
      </c>
      <c r="X31" s="33"/>
      <c r="Y31" s="34"/>
      <c r="Z31" s="15"/>
    </row>
    <row r="32" spans="3:26" s="3" customFormat="1" ht="45" customHeight="1" thickTop="1" x14ac:dyDescent="0.2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3:26" s="3" customFormat="1" ht="45" customHeight="1" x14ac:dyDescent="0.2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3:26" s="3" customFormat="1" ht="45" customHeight="1" x14ac:dyDescent="0.2">
      <c r="C34" s="102" t="s">
        <v>31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3:26" s="3" customFormat="1" ht="45" customHeight="1" x14ac:dyDescent="0.2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3:26" s="3" customFormat="1" ht="45" customHeight="1" x14ac:dyDescent="0.2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3:26" s="3" customFormat="1" ht="45" customHeight="1" x14ac:dyDescent="0.2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3:26" s="3" customFormat="1" ht="45" customHeight="1" x14ac:dyDescent="0.2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3:26" s="3" customFormat="1" ht="45" customHeight="1" x14ac:dyDescent="0.2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3:26" s="3" customFormat="1" ht="45" customHeight="1" x14ac:dyDescent="0.2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3:26" s="3" customFormat="1" ht="45" customHeight="1" x14ac:dyDescent="0.2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3:26" s="3" customFormat="1" ht="45" customHeight="1" x14ac:dyDescent="0.2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3:26" s="3" customFormat="1" ht="45" customHeight="1" x14ac:dyDescent="0.2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3:26" s="3" customFormat="1" ht="45" customHeight="1" x14ac:dyDescent="0.2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3:26" s="3" customFormat="1" ht="45" customHeight="1" x14ac:dyDescent="0.2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3:26" s="3" customFormat="1" ht="45" customHeight="1" x14ac:dyDescent="0.2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3:26" s="3" customFormat="1" ht="45" customHeight="1" x14ac:dyDescent="0.2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3:26" s="3" customFormat="1" ht="45" customHeight="1" x14ac:dyDescent="0.2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5:26" s="3" customFormat="1" ht="45" customHeight="1" x14ac:dyDescent="0.2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5:26" s="3" customFormat="1" ht="45" customHeight="1" x14ac:dyDescent="0.2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</sheetData>
  <mergeCells count="4">
    <mergeCell ref="C4:C10"/>
    <mergeCell ref="C19:C22"/>
    <mergeCell ref="C25:C28"/>
    <mergeCell ref="C12:C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1"/>
  <sheetViews>
    <sheetView workbookViewId="0">
      <pane xSplit="2" ySplit="4" topLeftCell="F5" activePane="bottomRight" state="frozen"/>
      <selection pane="topRight"/>
      <selection pane="bottomLeft"/>
      <selection pane="bottomRight" sqref="A1:W1"/>
    </sheetView>
  </sheetViews>
  <sheetFormatPr baseColWidth="10" defaultColWidth="8.83203125" defaultRowHeight="16" x14ac:dyDescent="0.2"/>
  <cols>
    <col min="1" max="1" width="24" customWidth="1"/>
    <col min="2" max="2" width="16" customWidth="1"/>
    <col min="3" max="23" width="13" customWidth="1"/>
  </cols>
  <sheetData>
    <row r="1" spans="1:23" ht="22" customHeight="1" x14ac:dyDescent="0.2">
      <c r="A1" s="160" t="s">
        <v>46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</row>
    <row r="2" spans="1:23" ht="18" customHeight="1" x14ac:dyDescent="0.2">
      <c r="A2" s="161" t="s">
        <v>47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 spans="1:23" ht="18" customHeight="1" x14ac:dyDescent="0.2">
      <c r="A3" s="161" t="s">
        <v>48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</row>
    <row r="4" spans="1:23" ht="30" customHeight="1" x14ac:dyDescent="0.2">
      <c r="A4" s="131" t="s">
        <v>0</v>
      </c>
      <c r="B4" s="131"/>
      <c r="C4" s="131" t="s">
        <v>1</v>
      </c>
      <c r="D4" s="131" t="s">
        <v>2</v>
      </c>
      <c r="E4" s="131" t="s">
        <v>3</v>
      </c>
      <c r="F4" s="131" t="s">
        <v>4</v>
      </c>
      <c r="G4" s="131" t="s">
        <v>5</v>
      </c>
      <c r="H4" s="131" t="s">
        <v>6</v>
      </c>
      <c r="I4" s="131" t="s">
        <v>7</v>
      </c>
      <c r="J4" s="131" t="s">
        <v>8</v>
      </c>
      <c r="K4" s="131" t="s">
        <v>9</v>
      </c>
      <c r="L4" s="131" t="s">
        <v>10</v>
      </c>
      <c r="M4" s="131" t="s">
        <v>11</v>
      </c>
      <c r="N4" s="131" t="s">
        <v>35</v>
      </c>
      <c r="O4" s="131" t="s">
        <v>36</v>
      </c>
      <c r="P4" s="131" t="s">
        <v>37</v>
      </c>
      <c r="Q4" s="131" t="s">
        <v>15</v>
      </c>
      <c r="R4" s="131" t="s">
        <v>16</v>
      </c>
      <c r="S4" s="131" t="s">
        <v>17</v>
      </c>
      <c r="T4" s="131" t="s">
        <v>18</v>
      </c>
      <c r="U4" s="131" t="s">
        <v>19</v>
      </c>
      <c r="V4" s="131" t="s">
        <v>20</v>
      </c>
      <c r="W4" s="131" t="s">
        <v>21</v>
      </c>
    </row>
    <row r="5" spans="1:23" ht="18" customHeight="1" x14ac:dyDescent="0.2">
      <c r="A5" s="148" t="s">
        <v>22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</row>
    <row r="6" spans="1:23" ht="16" customHeight="1" x14ac:dyDescent="0.2">
      <c r="A6" s="132" t="s">
        <v>22</v>
      </c>
      <c r="B6" s="132" t="s">
        <v>23</v>
      </c>
      <c r="C6" s="143">
        <v>403300000</v>
      </c>
      <c r="D6" s="143">
        <v>444200000</v>
      </c>
      <c r="E6" s="143">
        <v>847500000</v>
      </c>
      <c r="F6" s="143">
        <v>462800000</v>
      </c>
      <c r="G6" s="143">
        <v>484900000</v>
      </c>
      <c r="H6" s="143">
        <v>947700000</v>
      </c>
      <c r="I6" s="143">
        <v>1795200000</v>
      </c>
      <c r="J6" s="143">
        <v>421400000</v>
      </c>
      <c r="K6" s="143">
        <v>458200000</v>
      </c>
      <c r="L6" s="143">
        <v>879600000</v>
      </c>
      <c r="M6" s="143">
        <v>457300000</v>
      </c>
      <c r="N6" s="143">
        <v>457300000</v>
      </c>
      <c r="O6" s="143">
        <v>914600000</v>
      </c>
      <c r="P6" s="143">
        <v>1794200000</v>
      </c>
      <c r="Q6" s="144">
        <v>4.4879742127448552E-2</v>
      </c>
      <c r="R6" s="144">
        <v>3.1517334533993697E-2</v>
      </c>
      <c r="S6" s="144">
        <v>3.7876106194690257E-2</v>
      </c>
      <c r="T6" s="144">
        <v>-1.188418323249784E-2</v>
      </c>
      <c r="U6" s="135"/>
      <c r="V6" s="144">
        <v>-3.4926664556294187E-2</v>
      </c>
      <c r="W6" s="144">
        <v>-5.5704099821746883E-4</v>
      </c>
    </row>
    <row r="7" spans="1:23" ht="16" customHeight="1" x14ac:dyDescent="0.2">
      <c r="A7" s="136"/>
      <c r="B7" s="132" t="s">
        <v>24</v>
      </c>
      <c r="C7" s="143">
        <v>-8500000</v>
      </c>
      <c r="D7" s="143">
        <v>-8500000</v>
      </c>
      <c r="E7" s="143">
        <v>-17000000</v>
      </c>
      <c r="F7" s="143">
        <v>-9900000</v>
      </c>
      <c r="G7" s="143">
        <v>-9900000</v>
      </c>
      <c r="H7" s="143">
        <v>-19800000</v>
      </c>
      <c r="I7" s="143">
        <v>-36800000</v>
      </c>
      <c r="J7" s="143">
        <v>-8400000</v>
      </c>
      <c r="K7" s="143">
        <v>-9200000</v>
      </c>
      <c r="L7" s="143">
        <v>-17600000</v>
      </c>
      <c r="M7" s="143">
        <v>-9600000</v>
      </c>
      <c r="N7" s="143">
        <v>-9600000</v>
      </c>
      <c r="O7" s="143">
        <v>-19200000</v>
      </c>
      <c r="P7" s="143">
        <v>-36800000</v>
      </c>
      <c r="Q7" s="144">
        <v>1.1764705882352939E-2</v>
      </c>
      <c r="R7" s="144">
        <v>-8.2352941176470587E-2</v>
      </c>
      <c r="S7" s="144">
        <v>-3.5294117647058823E-2</v>
      </c>
      <c r="T7" s="144">
        <v>3.03030303030303E-2</v>
      </c>
      <c r="U7" s="135"/>
      <c r="V7" s="144">
        <v>3.03030303030303E-2</v>
      </c>
      <c r="W7" s="144">
        <v>0</v>
      </c>
    </row>
    <row r="8" spans="1:23" ht="16" customHeight="1" x14ac:dyDescent="0.2">
      <c r="A8" s="136"/>
      <c r="B8" s="132" t="s">
        <v>25</v>
      </c>
      <c r="C8" s="143">
        <v>375800000</v>
      </c>
      <c r="D8" s="143">
        <v>383300000</v>
      </c>
      <c r="E8" s="143">
        <v>759100000</v>
      </c>
      <c r="F8" s="143">
        <v>394600000</v>
      </c>
      <c r="G8" s="143">
        <v>414500000</v>
      </c>
      <c r="H8" s="143">
        <v>809100000</v>
      </c>
      <c r="I8" s="143">
        <v>1568200000</v>
      </c>
      <c r="J8" s="143">
        <v>389600000</v>
      </c>
      <c r="K8" s="143">
        <v>392300000</v>
      </c>
      <c r="L8" s="143">
        <v>781900000</v>
      </c>
      <c r="M8" s="143">
        <v>395800000</v>
      </c>
      <c r="N8" s="143">
        <v>395800000</v>
      </c>
      <c r="O8" s="143">
        <v>791600000</v>
      </c>
      <c r="P8" s="143">
        <v>1573500000</v>
      </c>
      <c r="Q8" s="144">
        <v>3.6721660457690257E-2</v>
      </c>
      <c r="R8" s="144">
        <v>2.3480302635011739E-2</v>
      </c>
      <c r="S8" s="144">
        <v>3.003556843630615E-2</v>
      </c>
      <c r="T8" s="144">
        <v>3.041054232133807E-3</v>
      </c>
      <c r="U8" s="135"/>
      <c r="V8" s="144">
        <v>-2.1628970461006061E-2</v>
      </c>
      <c r="W8" s="144">
        <v>3.3796709603366921E-3</v>
      </c>
    </row>
    <row r="9" spans="1:23" ht="16" customHeight="1" x14ac:dyDescent="0.2">
      <c r="A9" s="136"/>
      <c r="B9" s="132" t="s">
        <v>26</v>
      </c>
      <c r="C9" s="143">
        <v>277600000</v>
      </c>
      <c r="D9" s="143">
        <v>282100000</v>
      </c>
      <c r="E9" s="143">
        <v>559700000</v>
      </c>
      <c r="F9" s="143">
        <v>289500000</v>
      </c>
      <c r="G9" s="143">
        <v>293300000</v>
      </c>
      <c r="H9" s="143">
        <v>582800000</v>
      </c>
      <c r="I9" s="143">
        <v>1142500000</v>
      </c>
      <c r="J9" s="143">
        <v>282400000</v>
      </c>
      <c r="K9" s="143">
        <v>281300000</v>
      </c>
      <c r="L9" s="143">
        <v>563700000</v>
      </c>
      <c r="M9" s="143">
        <v>286100000</v>
      </c>
      <c r="N9" s="143">
        <v>286100000</v>
      </c>
      <c r="O9" s="143">
        <v>572200000</v>
      </c>
      <c r="P9" s="143">
        <v>1135900000</v>
      </c>
      <c r="Q9" s="144">
        <v>1.7291066282420751E-2</v>
      </c>
      <c r="R9" s="144">
        <v>-2.8358738036157391E-3</v>
      </c>
      <c r="S9" s="144">
        <v>7.1466857244952657E-3</v>
      </c>
      <c r="T9" s="144">
        <v>-1.174438687392055E-2</v>
      </c>
      <c r="U9" s="135"/>
      <c r="V9" s="144">
        <v>-1.8188057652711049E-2</v>
      </c>
      <c r="W9" s="144">
        <v>-5.7768052516411379E-3</v>
      </c>
    </row>
    <row r="10" spans="1:23" ht="16" customHeight="1" x14ac:dyDescent="0.2">
      <c r="A10" s="136"/>
      <c r="B10" s="132" t="s">
        <v>27</v>
      </c>
      <c r="C10" s="143">
        <v>98200000</v>
      </c>
      <c r="D10" s="143">
        <v>101200000</v>
      </c>
      <c r="E10" s="143">
        <v>199400000</v>
      </c>
      <c r="F10" s="143">
        <v>105100000</v>
      </c>
      <c r="G10" s="143">
        <v>121200000</v>
      </c>
      <c r="H10" s="143">
        <v>226300000</v>
      </c>
      <c r="I10" s="143">
        <v>425700000</v>
      </c>
      <c r="J10" s="143">
        <v>107200000</v>
      </c>
      <c r="K10" s="143">
        <v>111000000</v>
      </c>
      <c r="L10" s="143">
        <v>218200000</v>
      </c>
      <c r="M10" s="143">
        <v>109700000</v>
      </c>
      <c r="N10" s="143">
        <v>109700000</v>
      </c>
      <c r="O10" s="143">
        <v>219400000</v>
      </c>
      <c r="P10" s="143">
        <v>437600000</v>
      </c>
      <c r="Q10" s="144">
        <v>9.1649694501018328E-2</v>
      </c>
      <c r="R10" s="144">
        <v>9.6837944664031617E-2</v>
      </c>
      <c r="S10" s="144">
        <v>9.4282848545636913E-2</v>
      </c>
      <c r="T10" s="144">
        <v>4.3767840152235969E-2</v>
      </c>
      <c r="U10" s="135"/>
      <c r="V10" s="144">
        <v>-3.0490499337163059E-2</v>
      </c>
      <c r="W10" s="144">
        <v>2.7953958186516331E-2</v>
      </c>
    </row>
    <row r="11" spans="1:23" ht="16" customHeight="1" x14ac:dyDescent="0.2">
      <c r="A11" s="136"/>
      <c r="B11" s="132" t="s">
        <v>44</v>
      </c>
      <c r="C11" s="143">
        <v>13200000</v>
      </c>
      <c r="D11" s="143">
        <v>49700000</v>
      </c>
      <c r="E11" s="143">
        <v>62900000</v>
      </c>
      <c r="F11" s="143">
        <v>45400000</v>
      </c>
      <c r="G11" s="143">
        <v>53200000</v>
      </c>
      <c r="H11" s="143">
        <v>98600000</v>
      </c>
      <c r="I11" s="143">
        <v>161500000</v>
      </c>
      <c r="J11" s="143">
        <v>17100000</v>
      </c>
      <c r="K11" s="143">
        <v>49300000</v>
      </c>
      <c r="L11" s="143">
        <v>66400000</v>
      </c>
      <c r="M11" s="143">
        <v>45200000</v>
      </c>
      <c r="N11" s="143">
        <v>45200000</v>
      </c>
      <c r="O11" s="143">
        <v>90400000</v>
      </c>
      <c r="P11" s="143">
        <v>156800000</v>
      </c>
      <c r="Q11" s="144">
        <v>0.29545454545454553</v>
      </c>
      <c r="R11" s="144">
        <v>-8.0482897384305842E-3</v>
      </c>
      <c r="S11" s="144">
        <v>5.5643879173290937E-2</v>
      </c>
      <c r="T11" s="144">
        <v>-4.4052863436123352E-3</v>
      </c>
      <c r="U11" s="135"/>
      <c r="V11" s="144">
        <v>-8.3164300202839755E-2</v>
      </c>
      <c r="W11" s="144">
        <v>-2.910216718266254E-2</v>
      </c>
    </row>
    <row r="12" spans="1:23" ht="16" customHeight="1" x14ac:dyDescent="0.2">
      <c r="A12" s="136"/>
      <c r="B12" s="132" t="s">
        <v>45</v>
      </c>
      <c r="C12" s="143">
        <v>22800000</v>
      </c>
      <c r="D12" s="143">
        <v>19700000</v>
      </c>
      <c r="E12" s="143">
        <v>42500000</v>
      </c>
      <c r="F12" s="143">
        <v>32700000</v>
      </c>
      <c r="G12" s="143">
        <v>27100000</v>
      </c>
      <c r="H12" s="143">
        <v>59800000</v>
      </c>
      <c r="I12" s="143">
        <v>102300000</v>
      </c>
      <c r="J12" s="143">
        <v>23100000</v>
      </c>
      <c r="K12" s="143">
        <v>25800000</v>
      </c>
      <c r="L12" s="143">
        <v>48900000</v>
      </c>
      <c r="M12" s="143">
        <v>25900000</v>
      </c>
      <c r="N12" s="143">
        <v>25900000</v>
      </c>
      <c r="O12" s="143">
        <v>51800000</v>
      </c>
      <c r="P12" s="143">
        <v>100700000</v>
      </c>
      <c r="Q12" s="144">
        <v>1.3157894736842099E-2</v>
      </c>
      <c r="R12" s="144">
        <v>0.30964467005076141</v>
      </c>
      <c r="S12" s="144">
        <v>0.15058823529411761</v>
      </c>
      <c r="T12" s="144">
        <v>-0.2079510703363914</v>
      </c>
      <c r="U12" s="135"/>
      <c r="V12" s="144">
        <v>-0.13377926421404679</v>
      </c>
      <c r="W12" s="144">
        <v>-1.564027370478983E-2</v>
      </c>
    </row>
    <row r="13" spans="1:23" ht="18" customHeight="1" x14ac:dyDescent="0.2">
      <c r="A13" s="148" t="s">
        <v>28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</row>
    <row r="14" spans="1:23" ht="16" customHeight="1" x14ac:dyDescent="0.2">
      <c r="A14" s="132" t="s">
        <v>28</v>
      </c>
      <c r="B14" s="132" t="s">
        <v>25</v>
      </c>
      <c r="C14" s="144">
        <v>0.93181254649144563</v>
      </c>
      <c r="D14" s="144">
        <v>0.86289959477712741</v>
      </c>
      <c r="E14" s="144">
        <v>0.89569321533923307</v>
      </c>
      <c r="F14" s="144">
        <v>0.85263612791702681</v>
      </c>
      <c r="G14" s="144">
        <v>0.85481542586100223</v>
      </c>
      <c r="H14" s="144">
        <v>0.85375118708452047</v>
      </c>
      <c r="I14" s="144">
        <v>0.87355169340463457</v>
      </c>
      <c r="J14" s="144">
        <v>0.92453725676317033</v>
      </c>
      <c r="K14" s="144">
        <v>0.85617634220864247</v>
      </c>
      <c r="L14" s="144">
        <v>0.88892678490222832</v>
      </c>
      <c r="M14" s="144">
        <v>0.86551497922589105</v>
      </c>
      <c r="N14" s="144">
        <v>0.86551497922589105</v>
      </c>
      <c r="O14" s="144">
        <v>0.86551497922589105</v>
      </c>
      <c r="P14" s="144">
        <v>0.87699253149035783</v>
      </c>
      <c r="Q14" s="145">
        <v>-7.2752897282752924E-3</v>
      </c>
      <c r="R14" s="145">
        <v>-6.7232525684849387E-3</v>
      </c>
      <c r="S14" s="145">
        <v>-6.7664304370047557E-3</v>
      </c>
      <c r="T14" s="145">
        <v>1.287885130886424E-2</v>
      </c>
      <c r="U14" s="138"/>
      <c r="V14" s="138"/>
      <c r="W14" s="138"/>
    </row>
    <row r="15" spans="1:23" ht="16" customHeight="1" x14ac:dyDescent="0.2">
      <c r="A15" s="136"/>
      <c r="B15" s="132" t="s">
        <v>26</v>
      </c>
      <c r="C15" s="144">
        <v>0.73869079297498674</v>
      </c>
      <c r="D15" s="144">
        <v>0.73597704148186804</v>
      </c>
      <c r="E15" s="144">
        <v>0.73732051113160324</v>
      </c>
      <c r="F15" s="144">
        <v>0.73365433350228082</v>
      </c>
      <c r="G15" s="144">
        <v>0.70759951749095296</v>
      </c>
      <c r="H15" s="144">
        <v>0.72030651340996166</v>
      </c>
      <c r="I15" s="144">
        <v>0.72854227777069247</v>
      </c>
      <c r="J15" s="144">
        <v>0.72484599589322385</v>
      </c>
      <c r="K15" s="144">
        <v>0.71705327555442266</v>
      </c>
      <c r="L15" s="144">
        <v>0.72093618109732704</v>
      </c>
      <c r="M15" s="144">
        <v>0.72283981808994446</v>
      </c>
      <c r="N15" s="144">
        <v>0.72283981808994446</v>
      </c>
      <c r="O15" s="144">
        <v>0.72283981808994446</v>
      </c>
      <c r="P15" s="144">
        <v>0.72189386717508741</v>
      </c>
      <c r="Q15" s="145">
        <v>-1.3844797081762891E-2</v>
      </c>
      <c r="R15" s="145">
        <v>-1.892376592744538E-2</v>
      </c>
      <c r="S15" s="145">
        <v>-1.6384330034276199E-2</v>
      </c>
      <c r="T15" s="145">
        <v>-1.081451541233636E-2</v>
      </c>
      <c r="U15" s="138"/>
      <c r="V15" s="138"/>
      <c r="W15" s="138"/>
    </row>
    <row r="16" spans="1:23" ht="16" customHeight="1" x14ac:dyDescent="0.2">
      <c r="A16" s="136"/>
      <c r="B16" s="132" t="s">
        <v>27</v>
      </c>
      <c r="C16" s="144">
        <v>0.26130920702501331</v>
      </c>
      <c r="D16" s="144">
        <v>0.26402295851813201</v>
      </c>
      <c r="E16" s="144">
        <v>0.26267948886839682</v>
      </c>
      <c r="F16" s="144">
        <v>0.26634566649771918</v>
      </c>
      <c r="G16" s="144">
        <v>0.29240048250904699</v>
      </c>
      <c r="H16" s="144">
        <v>0.27969348659003829</v>
      </c>
      <c r="I16" s="144">
        <v>0.27145772222930747</v>
      </c>
      <c r="J16" s="144">
        <v>0.27515400410677621</v>
      </c>
      <c r="K16" s="144">
        <v>0.28294672444557739</v>
      </c>
      <c r="L16" s="144">
        <v>0.27906381890267301</v>
      </c>
      <c r="M16" s="144">
        <v>0.27716018191005559</v>
      </c>
      <c r="N16" s="144">
        <v>0.27716018191005559</v>
      </c>
      <c r="O16" s="144">
        <v>0.27716018191005559</v>
      </c>
      <c r="P16" s="144">
        <v>0.27810613282491259</v>
      </c>
      <c r="Q16" s="145">
        <v>1.3844797081762891E-2</v>
      </c>
      <c r="R16" s="145">
        <v>1.892376592744538E-2</v>
      </c>
      <c r="S16" s="145">
        <v>1.6384330034276199E-2</v>
      </c>
      <c r="T16" s="145">
        <v>1.081451541233636E-2</v>
      </c>
      <c r="U16" s="138"/>
      <c r="V16" s="138"/>
      <c r="W16" s="138"/>
    </row>
    <row r="17" spans="1:23" ht="16" customHeight="1" x14ac:dyDescent="0.2">
      <c r="A17" s="136"/>
      <c r="B17" s="132" t="s">
        <v>44</v>
      </c>
      <c r="C17" s="144">
        <v>3.2729977684106133E-2</v>
      </c>
      <c r="D17" s="144">
        <v>0.1118865375956776</v>
      </c>
      <c r="E17" s="144">
        <v>7.4218289085545716E-2</v>
      </c>
      <c r="F17" s="144">
        <v>9.8098530682800347E-2</v>
      </c>
      <c r="G17" s="144">
        <v>0.10971334295731081</v>
      </c>
      <c r="H17" s="144">
        <v>0.10404136330062259</v>
      </c>
      <c r="I17" s="144">
        <v>8.9962121212121215E-2</v>
      </c>
      <c r="J17" s="144">
        <v>4.057902230659706E-2</v>
      </c>
      <c r="K17" s="144">
        <v>0.10759493670886081</v>
      </c>
      <c r="L17" s="144">
        <v>7.5488858572078224E-2</v>
      </c>
      <c r="M17" s="144">
        <v>9.884102339820687E-2</v>
      </c>
      <c r="N17" s="144">
        <v>9.884102339820687E-2</v>
      </c>
      <c r="O17" s="144">
        <v>9.884102339820687E-2</v>
      </c>
      <c r="P17" s="144">
        <v>8.7392709842826891E-2</v>
      </c>
      <c r="Q17" s="145">
        <v>7.8490446224909333E-3</v>
      </c>
      <c r="R17" s="145">
        <v>-4.2916008868168626E-3</v>
      </c>
      <c r="S17" s="145">
        <v>1.2705694865325079E-3</v>
      </c>
      <c r="T17" s="145">
        <v>7.4249271540652306E-4</v>
      </c>
      <c r="U17" s="138"/>
      <c r="V17" s="138"/>
      <c r="W17" s="138"/>
    </row>
    <row r="18" spans="1:23" ht="16" customHeight="1" x14ac:dyDescent="0.2">
      <c r="A18" s="136"/>
      <c r="B18" s="132" t="s">
        <v>45</v>
      </c>
      <c r="C18" s="144">
        <v>5.6533597818001491E-2</v>
      </c>
      <c r="D18" s="144">
        <v>4.4349392165691129E-2</v>
      </c>
      <c r="E18" s="144">
        <v>5.0147492625368731E-2</v>
      </c>
      <c r="F18" s="144">
        <v>7.0656871218668968E-2</v>
      </c>
      <c r="G18" s="144">
        <v>5.5887811919983502E-2</v>
      </c>
      <c r="H18" s="144">
        <v>6.3100137174211243E-2</v>
      </c>
      <c r="I18" s="144">
        <v>5.6985294117647058E-2</v>
      </c>
      <c r="J18" s="144">
        <v>5.4817275747508297E-2</v>
      </c>
      <c r="K18" s="144">
        <v>5.6307289393278052E-2</v>
      </c>
      <c r="L18" s="144">
        <v>5.5593451568894947E-2</v>
      </c>
      <c r="M18" s="144">
        <v>5.6636781106494637E-2</v>
      </c>
      <c r="N18" s="144">
        <v>5.6636781106494637E-2</v>
      </c>
      <c r="O18" s="144">
        <v>5.6636781106494637E-2</v>
      </c>
      <c r="P18" s="144">
        <v>5.612529260951956E-2</v>
      </c>
      <c r="Q18" s="145">
        <v>-1.716322070493187E-3</v>
      </c>
      <c r="R18" s="145">
        <v>1.195789722758692E-2</v>
      </c>
      <c r="S18" s="145">
        <v>5.4459589435262232E-3</v>
      </c>
      <c r="T18" s="145">
        <v>-1.4020090112174321E-2</v>
      </c>
      <c r="U18" s="138"/>
      <c r="V18" s="138"/>
      <c r="W18" s="138"/>
    </row>
    <row r="19" spans="1:23" ht="18" customHeight="1" x14ac:dyDescent="0.2">
      <c r="A19" s="148" t="s">
        <v>29</v>
      </c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</row>
    <row r="20" spans="1:23" ht="16" customHeight="1" x14ac:dyDescent="0.2">
      <c r="A20" s="132" t="s">
        <v>29</v>
      </c>
      <c r="B20" s="132" t="s">
        <v>23</v>
      </c>
      <c r="C20" s="143">
        <v>184500000</v>
      </c>
      <c r="D20" s="143">
        <v>191500000</v>
      </c>
      <c r="E20" s="143">
        <v>376000000</v>
      </c>
      <c r="F20" s="143">
        <v>216900000</v>
      </c>
      <c r="G20" s="143">
        <v>187300000</v>
      </c>
      <c r="H20" s="143">
        <v>404200000</v>
      </c>
      <c r="I20" s="143">
        <v>780200000</v>
      </c>
      <c r="J20" s="143">
        <v>192300000</v>
      </c>
      <c r="K20" s="143">
        <v>202900000</v>
      </c>
      <c r="L20" s="143">
        <v>395200000</v>
      </c>
      <c r="M20" s="143">
        <v>222700000</v>
      </c>
      <c r="N20" s="143">
        <v>222700000</v>
      </c>
      <c r="O20" s="143">
        <v>445400000</v>
      </c>
      <c r="P20" s="143">
        <v>840600000</v>
      </c>
      <c r="Q20" s="144">
        <v>4.2276422764227641E-2</v>
      </c>
      <c r="R20" s="144">
        <v>5.9530026109660572E-2</v>
      </c>
      <c r="S20" s="144">
        <v>5.106382978723404E-2</v>
      </c>
      <c r="T20" s="144">
        <v>2.6740433379437531E-2</v>
      </c>
      <c r="U20" s="135"/>
      <c r="V20" s="144">
        <v>0.1019297377535873</v>
      </c>
      <c r="W20" s="144">
        <v>7.7416047167392976E-2</v>
      </c>
    </row>
    <row r="21" spans="1:23" ht="16" customHeight="1" x14ac:dyDescent="0.2">
      <c r="A21" s="136"/>
      <c r="B21" s="132" t="s">
        <v>25</v>
      </c>
      <c r="C21" s="143">
        <v>172100000</v>
      </c>
      <c r="D21" s="143">
        <v>177300000</v>
      </c>
      <c r="E21" s="143">
        <v>349400000</v>
      </c>
      <c r="F21" s="143">
        <v>196400000</v>
      </c>
      <c r="G21" s="143">
        <v>169000000</v>
      </c>
      <c r="H21" s="143">
        <v>365400000</v>
      </c>
      <c r="I21" s="143">
        <v>714800000</v>
      </c>
      <c r="J21" s="143">
        <v>179600000</v>
      </c>
      <c r="K21" s="143">
        <v>184700000</v>
      </c>
      <c r="L21" s="143">
        <v>364300000</v>
      </c>
      <c r="M21" s="143">
        <v>204800000</v>
      </c>
      <c r="N21" s="143">
        <v>204800000</v>
      </c>
      <c r="O21" s="143">
        <v>409600000</v>
      </c>
      <c r="P21" s="143">
        <v>773900000</v>
      </c>
      <c r="Q21" s="144">
        <v>4.3579314352120861E-2</v>
      </c>
      <c r="R21" s="144">
        <v>4.1737168640721939E-2</v>
      </c>
      <c r="S21" s="144">
        <v>4.2644533485975959E-2</v>
      </c>
      <c r="T21" s="144">
        <v>4.2769857433808553E-2</v>
      </c>
      <c r="U21" s="135"/>
      <c r="V21" s="144">
        <v>0.12096332785987959</v>
      </c>
      <c r="W21" s="144">
        <v>8.2680470061555683E-2</v>
      </c>
    </row>
    <row r="22" spans="1:23" ht="16" customHeight="1" x14ac:dyDescent="0.2">
      <c r="A22" s="136"/>
      <c r="B22" s="132" t="s">
        <v>44</v>
      </c>
      <c r="C22" s="143">
        <v>1700000</v>
      </c>
      <c r="D22" s="143">
        <v>5500000</v>
      </c>
      <c r="E22" s="143">
        <v>7200000</v>
      </c>
      <c r="F22" s="143">
        <v>5300000</v>
      </c>
      <c r="G22" s="143">
        <v>6100000</v>
      </c>
      <c r="H22" s="143">
        <v>11400000</v>
      </c>
      <c r="I22" s="143">
        <v>18600000</v>
      </c>
      <c r="J22" s="143">
        <v>1900000</v>
      </c>
      <c r="K22" s="143">
        <v>6500000</v>
      </c>
      <c r="L22" s="143">
        <v>8400000</v>
      </c>
      <c r="M22" s="143">
        <v>5900000</v>
      </c>
      <c r="N22" s="143">
        <v>5900000</v>
      </c>
      <c r="O22" s="143">
        <v>11800000</v>
      </c>
      <c r="P22" s="143">
        <v>20200000</v>
      </c>
      <c r="Q22" s="144">
        <v>0.1176470588235294</v>
      </c>
      <c r="R22" s="144">
        <v>0.1818181818181818</v>
      </c>
      <c r="S22" s="144">
        <v>0.16666666666666671</v>
      </c>
      <c r="T22" s="144">
        <v>0.1132075471698113</v>
      </c>
      <c r="U22" s="135"/>
      <c r="V22" s="144">
        <v>3.5087719298245612E-2</v>
      </c>
      <c r="W22" s="144">
        <v>8.6021505376344093E-2</v>
      </c>
    </row>
    <row r="23" spans="1:23" ht="16" customHeight="1" x14ac:dyDescent="0.2">
      <c r="A23" s="136"/>
      <c r="B23" s="132" t="s">
        <v>45</v>
      </c>
      <c r="C23" s="143">
        <v>10600000</v>
      </c>
      <c r="D23" s="143">
        <v>8700000</v>
      </c>
      <c r="E23" s="143">
        <v>19300000</v>
      </c>
      <c r="F23" s="143">
        <v>15200000</v>
      </c>
      <c r="G23" s="143">
        <v>12200000</v>
      </c>
      <c r="H23" s="143">
        <v>27400000</v>
      </c>
      <c r="I23" s="143">
        <v>46700000</v>
      </c>
      <c r="J23" s="143">
        <v>10900000</v>
      </c>
      <c r="K23" s="143">
        <v>11700000</v>
      </c>
      <c r="L23" s="143">
        <v>22600000</v>
      </c>
      <c r="M23" s="143">
        <v>12000000</v>
      </c>
      <c r="N23" s="143">
        <v>12000000</v>
      </c>
      <c r="O23" s="143">
        <v>24000000</v>
      </c>
      <c r="P23" s="143">
        <v>46600000</v>
      </c>
      <c r="Q23" s="144">
        <v>2.8301886792452831E-2</v>
      </c>
      <c r="R23" s="144">
        <v>0.34482758620689657</v>
      </c>
      <c r="S23" s="144">
        <v>0.17098445595854919</v>
      </c>
      <c r="T23" s="144">
        <v>-0.2105263157894737</v>
      </c>
      <c r="U23" s="135"/>
      <c r="V23" s="144">
        <v>-0.1240875912408759</v>
      </c>
      <c r="W23" s="144">
        <v>-2.141327623126338E-3</v>
      </c>
    </row>
    <row r="24" spans="1:23" ht="16" customHeight="1" x14ac:dyDescent="0.2">
      <c r="A24" s="132" t="s">
        <v>30</v>
      </c>
      <c r="B24" s="132" t="s">
        <v>23</v>
      </c>
      <c r="C24" s="144">
        <v>0.45747582444830148</v>
      </c>
      <c r="D24" s="144">
        <v>0.43111211166141378</v>
      </c>
      <c r="E24" s="144">
        <v>0.44365781710914448</v>
      </c>
      <c r="F24" s="144">
        <v>0.46866897147796022</v>
      </c>
      <c r="G24" s="144">
        <v>0.38626520932150959</v>
      </c>
      <c r="H24" s="144">
        <v>0.42650627835813021</v>
      </c>
      <c r="I24" s="144">
        <v>0.43460338680926919</v>
      </c>
      <c r="J24" s="144">
        <v>0.4563360227812055</v>
      </c>
      <c r="K24" s="144">
        <v>0.44281972937581843</v>
      </c>
      <c r="L24" s="144">
        <v>0.44929513415188721</v>
      </c>
      <c r="M24" s="144">
        <v>0.48698884758364308</v>
      </c>
      <c r="N24" s="144">
        <v>0.48698884758364308</v>
      </c>
      <c r="O24" s="144">
        <v>0.48698884758364308</v>
      </c>
      <c r="P24" s="144">
        <v>0.46850964218035901</v>
      </c>
      <c r="Q24" s="145">
        <v>-1.1398016670960409E-3</v>
      </c>
      <c r="R24" s="145">
        <v>1.170761771440465E-2</v>
      </c>
      <c r="S24" s="145">
        <v>5.6373170427426733E-3</v>
      </c>
      <c r="T24" s="145">
        <v>1.831987610568292E-2</v>
      </c>
      <c r="U24" s="138"/>
      <c r="V24" s="138"/>
      <c r="W24" s="138"/>
    </row>
    <row r="25" spans="1:23" ht="16" customHeight="1" x14ac:dyDescent="0.2">
      <c r="A25" s="136"/>
      <c r="B25" s="132" t="s">
        <v>25</v>
      </c>
      <c r="C25" s="144">
        <v>0.45795635976583288</v>
      </c>
      <c r="D25" s="144">
        <v>0.46256196190973131</v>
      </c>
      <c r="E25" s="144">
        <v>0.46028191279146358</v>
      </c>
      <c r="F25" s="144">
        <v>0.49771920932589958</v>
      </c>
      <c r="G25" s="144">
        <v>0.40772014475271412</v>
      </c>
      <c r="H25" s="144">
        <v>0.45161290322580638</v>
      </c>
      <c r="I25" s="144">
        <v>0.45580920800918251</v>
      </c>
      <c r="J25" s="144">
        <v>0.46098562628336748</v>
      </c>
      <c r="K25" s="144">
        <v>0.47081315319908229</v>
      </c>
      <c r="L25" s="144">
        <v>0.46591635759048472</v>
      </c>
      <c r="M25" s="144">
        <v>0.51743304699343107</v>
      </c>
      <c r="N25" s="144">
        <v>0.51743304699343107</v>
      </c>
      <c r="O25" s="144">
        <v>0.51743304699343107</v>
      </c>
      <c r="P25" s="144">
        <v>0.49183349221480782</v>
      </c>
      <c r="Q25" s="145">
        <v>3.0292665175346571E-3</v>
      </c>
      <c r="R25" s="145">
        <v>8.2511912893510897E-3</v>
      </c>
      <c r="S25" s="145">
        <v>5.6344447990211433E-3</v>
      </c>
      <c r="T25" s="145">
        <v>1.9713837667531431E-2</v>
      </c>
      <c r="U25" s="138"/>
      <c r="V25" s="138"/>
      <c r="W25" s="138"/>
    </row>
    <row r="26" spans="1:23" ht="16" customHeight="1" x14ac:dyDescent="0.2">
      <c r="A26" s="136"/>
      <c r="B26" s="132" t="s">
        <v>44</v>
      </c>
      <c r="C26" s="144">
        <v>0.12878787878787881</v>
      </c>
      <c r="D26" s="144">
        <v>0.1106639839034205</v>
      </c>
      <c r="E26" s="144">
        <v>0.11446740858505559</v>
      </c>
      <c r="F26" s="144">
        <v>0.11674008810572691</v>
      </c>
      <c r="G26" s="144">
        <v>0.1146616541353383</v>
      </c>
      <c r="H26" s="144">
        <v>0.1156186612576065</v>
      </c>
      <c r="I26" s="144">
        <v>0.11517027863777091</v>
      </c>
      <c r="J26" s="144">
        <v>0.1111111111111111</v>
      </c>
      <c r="K26" s="144">
        <v>0.1318458417849899</v>
      </c>
      <c r="L26" s="144">
        <v>0.12650602409638551</v>
      </c>
      <c r="M26" s="144">
        <v>0.13053097345132739</v>
      </c>
      <c r="N26" s="144">
        <v>0.13053097345132739</v>
      </c>
      <c r="O26" s="144">
        <v>0.13053097345132739</v>
      </c>
      <c r="P26" s="144">
        <v>0.12882653061224489</v>
      </c>
      <c r="Q26" s="145">
        <v>-1.767676767676768E-2</v>
      </c>
      <c r="R26" s="145">
        <v>2.118185788156934E-2</v>
      </c>
      <c r="S26" s="145">
        <v>1.203861551132988E-2</v>
      </c>
      <c r="T26" s="145">
        <v>1.379088534560056E-2</v>
      </c>
      <c r="U26" s="138"/>
      <c r="V26" s="138"/>
      <c r="W26" s="138"/>
    </row>
    <row r="27" spans="1:23" ht="16" customHeight="1" x14ac:dyDescent="0.2">
      <c r="A27" s="136"/>
      <c r="B27" s="132" t="s">
        <v>45</v>
      </c>
      <c r="C27" s="144">
        <v>0.46491228070175439</v>
      </c>
      <c r="D27" s="144">
        <v>0.44162436548223349</v>
      </c>
      <c r="E27" s="144">
        <v>0.45411764705882351</v>
      </c>
      <c r="F27" s="144">
        <v>0.46483180428134557</v>
      </c>
      <c r="G27" s="144">
        <v>0.45018450184501851</v>
      </c>
      <c r="H27" s="144">
        <v>0.45819397993311028</v>
      </c>
      <c r="I27" s="144">
        <v>0.45650048875855331</v>
      </c>
      <c r="J27" s="144">
        <v>0.47186147186147193</v>
      </c>
      <c r="K27" s="144">
        <v>0.45348837209302317</v>
      </c>
      <c r="L27" s="144">
        <v>0.46216768916155421</v>
      </c>
      <c r="M27" s="144">
        <v>0.46332046332046328</v>
      </c>
      <c r="N27" s="144">
        <v>0.46332046332046328</v>
      </c>
      <c r="O27" s="144">
        <v>0.46332046332046328</v>
      </c>
      <c r="P27" s="144">
        <v>0.4627606752730884</v>
      </c>
      <c r="Q27" s="145">
        <v>6.9491911597174827E-3</v>
      </c>
      <c r="R27" s="145">
        <v>1.1864006610789729E-2</v>
      </c>
      <c r="S27" s="145">
        <v>8.0500421027306923E-3</v>
      </c>
      <c r="T27" s="145">
        <v>-1.511340960882235E-3</v>
      </c>
      <c r="U27" s="138"/>
      <c r="V27" s="138"/>
      <c r="W27" s="138"/>
    </row>
    <row r="28" spans="1:23" ht="18" customHeight="1" x14ac:dyDescent="0.2">
      <c r="A28" s="148" t="s">
        <v>38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</row>
    <row r="29" spans="1:23" ht="16" customHeight="1" x14ac:dyDescent="0.2">
      <c r="A29" s="132" t="s">
        <v>38</v>
      </c>
      <c r="B29" s="132" t="s">
        <v>23</v>
      </c>
      <c r="C29" s="143">
        <v>105500000</v>
      </c>
      <c r="D29" s="143">
        <v>111000000</v>
      </c>
      <c r="E29" s="143">
        <v>216500000</v>
      </c>
      <c r="F29" s="143">
        <v>118400000</v>
      </c>
      <c r="G29" s="143">
        <v>122200000</v>
      </c>
      <c r="H29" s="143">
        <v>240600000</v>
      </c>
      <c r="I29" s="143">
        <v>457100000</v>
      </c>
      <c r="J29" s="143">
        <v>107000000</v>
      </c>
      <c r="K29" s="143">
        <v>120700000</v>
      </c>
      <c r="L29" s="143">
        <v>227700000</v>
      </c>
      <c r="M29" s="143">
        <v>112600000</v>
      </c>
      <c r="N29" s="143">
        <v>112600000</v>
      </c>
      <c r="O29" s="143">
        <v>225200000</v>
      </c>
      <c r="P29" s="143">
        <v>452900000</v>
      </c>
      <c r="Q29" s="144">
        <v>1.421800947867299E-2</v>
      </c>
      <c r="R29" s="144">
        <v>8.7387387387387383E-2</v>
      </c>
      <c r="S29" s="144">
        <v>5.1732101616628168E-2</v>
      </c>
      <c r="T29" s="144">
        <v>-4.8986486486486493E-2</v>
      </c>
      <c r="U29" s="135"/>
      <c r="V29" s="144">
        <v>-6.4006650041562765E-2</v>
      </c>
      <c r="W29" s="144">
        <v>-9.1883614088820835E-3</v>
      </c>
    </row>
    <row r="30" spans="1:23" ht="18" customHeight="1" x14ac:dyDescent="0.2">
      <c r="A30" s="148" t="s">
        <v>31</v>
      </c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</row>
    <row r="31" spans="1:23" ht="24" customHeight="1" x14ac:dyDescent="0.2">
      <c r="A31" s="152" t="s">
        <v>49</v>
      </c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</row>
  </sheetData>
  <mergeCells count="9">
    <mergeCell ref="A13:W13"/>
    <mergeCell ref="A5:W5"/>
    <mergeCell ref="A1:W1"/>
    <mergeCell ref="A31:W31"/>
    <mergeCell ref="A3:W3"/>
    <mergeCell ref="A28:W28"/>
    <mergeCell ref="A30:W30"/>
    <mergeCell ref="A2:W2"/>
    <mergeCell ref="A19:W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6" x14ac:dyDescent="0.2"/>
  <cols>
    <col min="1" max="1" width="4" customWidth="1"/>
    <col min="2" max="2" width="38" customWidth="1"/>
    <col min="3" max="3" width="16" customWidth="1"/>
    <col min="4" max="4" width="20" customWidth="1"/>
    <col min="5" max="5" width="36" customWidth="1"/>
    <col min="6" max="6" width="40" customWidth="1"/>
    <col min="7" max="7" width="14" customWidth="1"/>
  </cols>
  <sheetData>
    <row r="1" spans="1:7" ht="24" customHeight="1" x14ac:dyDescent="0.2">
      <c r="A1" s="162" t="s">
        <v>50</v>
      </c>
      <c r="B1" s="149"/>
      <c r="C1" s="149"/>
      <c r="D1" s="149"/>
      <c r="E1" s="149"/>
      <c r="F1" s="149"/>
      <c r="G1" s="149"/>
    </row>
    <row r="2" spans="1:7" ht="16" customHeight="1" x14ac:dyDescent="0.2">
      <c r="A2" s="151" t="s">
        <v>51</v>
      </c>
      <c r="B2" s="149"/>
      <c r="C2" s="149"/>
      <c r="D2" s="149"/>
      <c r="E2" s="149"/>
      <c r="F2" s="149"/>
      <c r="G2" s="149"/>
    </row>
    <row r="3" spans="1:7" ht="22" customHeight="1" x14ac:dyDescent="0.2">
      <c r="A3" s="131" t="s">
        <v>52</v>
      </c>
      <c r="B3" s="131" t="s">
        <v>53</v>
      </c>
      <c r="C3" s="131" t="s">
        <v>54</v>
      </c>
      <c r="D3" s="131" t="s">
        <v>55</v>
      </c>
      <c r="E3" s="131" t="s">
        <v>56</v>
      </c>
      <c r="F3" s="131" t="s">
        <v>57</v>
      </c>
      <c r="G3" s="131" t="s">
        <v>58</v>
      </c>
    </row>
    <row r="4" spans="1:7" ht="28" customHeight="1" x14ac:dyDescent="0.2">
      <c r="A4" s="139">
        <v>1</v>
      </c>
      <c r="B4" s="139" t="s">
        <v>59</v>
      </c>
      <c r="C4" s="139" t="s">
        <v>60</v>
      </c>
      <c r="D4" s="139" t="s">
        <v>61</v>
      </c>
      <c r="E4" s="139" t="s">
        <v>62</v>
      </c>
      <c r="F4" s="139" t="s">
        <v>63</v>
      </c>
      <c r="G4" s="139" t="s">
        <v>64</v>
      </c>
    </row>
    <row r="5" spans="1:7" ht="28" customHeight="1" x14ac:dyDescent="0.2">
      <c r="A5" s="140">
        <v>2</v>
      </c>
      <c r="B5" s="140" t="s">
        <v>65</v>
      </c>
      <c r="C5" s="140" t="s">
        <v>66</v>
      </c>
      <c r="D5" s="140" t="s">
        <v>61</v>
      </c>
      <c r="E5" s="140" t="s">
        <v>67</v>
      </c>
      <c r="F5" s="140" t="s">
        <v>68</v>
      </c>
      <c r="G5" s="140" t="s">
        <v>64</v>
      </c>
    </row>
    <row r="6" spans="1:7" ht="28" customHeight="1" x14ac:dyDescent="0.2">
      <c r="A6" s="139">
        <v>3</v>
      </c>
      <c r="B6" s="139" t="s">
        <v>69</v>
      </c>
      <c r="C6" s="139" t="s">
        <v>60</v>
      </c>
      <c r="D6" s="139" t="s">
        <v>61</v>
      </c>
      <c r="E6" s="139" t="s">
        <v>70</v>
      </c>
      <c r="F6" s="139" t="s">
        <v>71</v>
      </c>
      <c r="G6" s="139" t="s">
        <v>64</v>
      </c>
    </row>
    <row r="7" spans="1:7" ht="28" customHeight="1" x14ac:dyDescent="0.2">
      <c r="A7" s="140">
        <v>4</v>
      </c>
      <c r="B7" s="140" t="s">
        <v>72</v>
      </c>
      <c r="C7" s="140" t="s">
        <v>66</v>
      </c>
      <c r="D7" s="140" t="s">
        <v>61</v>
      </c>
      <c r="E7" s="140" t="s">
        <v>73</v>
      </c>
      <c r="F7" s="140" t="s">
        <v>68</v>
      </c>
      <c r="G7" s="140" t="s">
        <v>64</v>
      </c>
    </row>
    <row r="8" spans="1:7" ht="28" customHeight="1" x14ac:dyDescent="0.2">
      <c r="A8" s="139">
        <v>5</v>
      </c>
      <c r="B8" s="139" t="s">
        <v>74</v>
      </c>
      <c r="C8" s="139" t="s">
        <v>75</v>
      </c>
      <c r="D8" s="139" t="s">
        <v>76</v>
      </c>
      <c r="E8" s="139" t="s">
        <v>77</v>
      </c>
      <c r="F8" s="139" t="s">
        <v>78</v>
      </c>
      <c r="G8" s="139" t="s">
        <v>79</v>
      </c>
    </row>
    <row r="9" spans="1:7" ht="28" customHeight="1" x14ac:dyDescent="0.2">
      <c r="A9" s="140">
        <v>6</v>
      </c>
      <c r="B9" s="140" t="s">
        <v>80</v>
      </c>
      <c r="C9" s="140" t="s">
        <v>75</v>
      </c>
      <c r="D9" s="140" t="s">
        <v>81</v>
      </c>
      <c r="E9" s="140" t="s">
        <v>82</v>
      </c>
      <c r="F9" s="140" t="s">
        <v>83</v>
      </c>
      <c r="G9" s="140" t="s">
        <v>79</v>
      </c>
    </row>
    <row r="10" spans="1:7" ht="28" customHeight="1" x14ac:dyDescent="0.2">
      <c r="A10" s="139">
        <v>7</v>
      </c>
      <c r="B10" s="139" t="s">
        <v>84</v>
      </c>
      <c r="C10" s="139" t="s">
        <v>85</v>
      </c>
      <c r="D10" s="139" t="s">
        <v>86</v>
      </c>
      <c r="E10" s="139" t="s">
        <v>87</v>
      </c>
      <c r="F10" s="139" t="s">
        <v>88</v>
      </c>
      <c r="G10" s="139" t="s">
        <v>89</v>
      </c>
    </row>
    <row r="11" spans="1:7" ht="28" customHeight="1" x14ac:dyDescent="0.2">
      <c r="A11" s="140">
        <v>8</v>
      </c>
      <c r="B11" s="140" t="s">
        <v>90</v>
      </c>
      <c r="C11" s="140" t="s">
        <v>91</v>
      </c>
      <c r="D11" s="140" t="s">
        <v>92</v>
      </c>
      <c r="E11" s="140" t="s">
        <v>93</v>
      </c>
      <c r="F11" s="140" t="s">
        <v>94</v>
      </c>
      <c r="G11" s="140" t="s">
        <v>95</v>
      </c>
    </row>
    <row r="12" spans="1:7" ht="28" customHeight="1" x14ac:dyDescent="0.2">
      <c r="A12" s="139">
        <v>9</v>
      </c>
      <c r="B12" s="139" t="s">
        <v>96</v>
      </c>
      <c r="C12" s="139" t="s">
        <v>91</v>
      </c>
      <c r="D12" s="139" t="s">
        <v>97</v>
      </c>
      <c r="E12" s="139" t="s">
        <v>98</v>
      </c>
      <c r="F12" s="139" t="s">
        <v>99</v>
      </c>
      <c r="G12" s="139" t="s">
        <v>100</v>
      </c>
    </row>
    <row r="13" spans="1:7" ht="28" customHeight="1" x14ac:dyDescent="0.2">
      <c r="A13" s="140">
        <v>10</v>
      </c>
      <c r="B13" s="140" t="s">
        <v>101</v>
      </c>
      <c r="C13" s="140" t="s">
        <v>102</v>
      </c>
      <c r="D13" s="140" t="s">
        <v>103</v>
      </c>
      <c r="E13" s="140" t="s">
        <v>104</v>
      </c>
      <c r="F13" s="140" t="s">
        <v>105</v>
      </c>
      <c r="G13" s="140" t="s">
        <v>106</v>
      </c>
    </row>
    <row r="14" spans="1:7" ht="28" customHeight="1" x14ac:dyDescent="0.2">
      <c r="A14" s="139">
        <v>11</v>
      </c>
      <c r="B14" s="139" t="s">
        <v>107</v>
      </c>
      <c r="C14" s="139" t="s">
        <v>108</v>
      </c>
      <c r="D14" s="139" t="s">
        <v>61</v>
      </c>
      <c r="E14" s="139" t="s">
        <v>109</v>
      </c>
      <c r="F14" s="139" t="s">
        <v>110</v>
      </c>
      <c r="G14" s="139" t="s">
        <v>111</v>
      </c>
    </row>
    <row r="15" spans="1:7" ht="28" customHeight="1" x14ac:dyDescent="0.2">
      <c r="A15" s="140">
        <v>12</v>
      </c>
      <c r="B15" s="140" t="s">
        <v>112</v>
      </c>
      <c r="C15" s="140" t="s">
        <v>108</v>
      </c>
      <c r="D15" s="140" t="s">
        <v>61</v>
      </c>
      <c r="E15" s="140" t="s">
        <v>113</v>
      </c>
      <c r="F15" s="140" t="s">
        <v>114</v>
      </c>
      <c r="G15" s="140" t="s">
        <v>111</v>
      </c>
    </row>
    <row r="16" spans="1:7" ht="28" customHeight="1" x14ac:dyDescent="0.2">
      <c r="A16" s="139">
        <v>13</v>
      </c>
      <c r="B16" s="139" t="s">
        <v>115</v>
      </c>
      <c r="C16" s="139" t="s">
        <v>108</v>
      </c>
      <c r="D16" s="139" t="s">
        <v>61</v>
      </c>
      <c r="E16" s="139" t="s">
        <v>116</v>
      </c>
      <c r="F16" s="139" t="s">
        <v>117</v>
      </c>
      <c r="G16" s="139" t="s">
        <v>111</v>
      </c>
    </row>
    <row r="17" spans="1:7" ht="28" customHeight="1" x14ac:dyDescent="0.2">
      <c r="A17" s="140">
        <v>14</v>
      </c>
      <c r="B17" s="140" t="s">
        <v>118</v>
      </c>
      <c r="C17" s="140" t="s">
        <v>119</v>
      </c>
      <c r="D17" s="140" t="s">
        <v>120</v>
      </c>
      <c r="E17" s="140" t="s">
        <v>121</v>
      </c>
      <c r="F17" s="140" t="s">
        <v>122</v>
      </c>
      <c r="G17" s="140" t="s">
        <v>123</v>
      </c>
    </row>
    <row r="18" spans="1:7" ht="28" customHeight="1" x14ac:dyDescent="0.2">
      <c r="A18" s="139">
        <v>15</v>
      </c>
      <c r="B18" s="139" t="s">
        <v>124</v>
      </c>
      <c r="C18" s="139" t="s">
        <v>125</v>
      </c>
      <c r="D18" s="139" t="s">
        <v>126</v>
      </c>
      <c r="E18" s="139" t="s">
        <v>127</v>
      </c>
      <c r="F18" s="139" t="s">
        <v>128</v>
      </c>
      <c r="G18" s="139" t="s">
        <v>129</v>
      </c>
    </row>
    <row r="19" spans="1:7" ht="28" customHeight="1" x14ac:dyDescent="0.2">
      <c r="A19" s="139">
        <v>16</v>
      </c>
      <c r="B19" s="139" t="s">
        <v>130</v>
      </c>
      <c r="C19" s="139" t="s">
        <v>131</v>
      </c>
      <c r="D19" s="139" t="s">
        <v>61</v>
      </c>
      <c r="E19" s="139" t="s">
        <v>132</v>
      </c>
      <c r="F19" s="139" t="s">
        <v>133</v>
      </c>
      <c r="G19" s="139" t="s">
        <v>134</v>
      </c>
    </row>
    <row r="20" spans="1:7" ht="28" customHeight="1" x14ac:dyDescent="0.2">
      <c r="A20" s="140">
        <v>17</v>
      </c>
      <c r="B20" s="140" t="s">
        <v>135</v>
      </c>
      <c r="C20" s="140" t="s">
        <v>131</v>
      </c>
      <c r="D20" s="140" t="s">
        <v>61</v>
      </c>
      <c r="E20" s="140" t="s">
        <v>136</v>
      </c>
      <c r="F20" s="140" t="s">
        <v>137</v>
      </c>
      <c r="G20" s="140" t="s">
        <v>134</v>
      </c>
    </row>
    <row r="21" spans="1:7" ht="28" customHeight="1" x14ac:dyDescent="0.2">
      <c r="A21" s="139">
        <v>18</v>
      </c>
      <c r="B21" s="139" t="s">
        <v>138</v>
      </c>
      <c r="C21" s="139" t="s">
        <v>60</v>
      </c>
      <c r="D21" s="139" t="s">
        <v>61</v>
      </c>
      <c r="E21" s="139" t="s">
        <v>139</v>
      </c>
      <c r="F21" s="139" t="s">
        <v>140</v>
      </c>
      <c r="G21" s="139" t="s">
        <v>141</v>
      </c>
    </row>
    <row r="22" spans="1:7" ht="28" customHeight="1" x14ac:dyDescent="0.2">
      <c r="A22" s="140">
        <v>19</v>
      </c>
      <c r="B22" s="140" t="s">
        <v>142</v>
      </c>
      <c r="C22" s="140" t="s">
        <v>60</v>
      </c>
      <c r="D22" s="140" t="s">
        <v>61</v>
      </c>
      <c r="E22" s="140" t="s">
        <v>143</v>
      </c>
      <c r="F22" s="140" t="s">
        <v>144</v>
      </c>
      <c r="G22" s="140" t="s">
        <v>141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6" x14ac:dyDescent="0.2"/>
  <cols>
    <col min="1" max="1" width="36" customWidth="1"/>
    <col min="2" max="2" width="32" customWidth="1"/>
    <col min="3" max="3" width="44" customWidth="1"/>
    <col min="4" max="4" width="10" customWidth="1"/>
  </cols>
  <sheetData>
    <row r="1" spans="1:4" ht="26" customHeight="1" x14ac:dyDescent="0.2">
      <c r="A1" s="168" t="s">
        <v>145</v>
      </c>
      <c r="B1" s="149"/>
      <c r="C1" s="149"/>
      <c r="D1" s="149"/>
    </row>
    <row r="2" spans="1:4" x14ac:dyDescent="0.2">
      <c r="A2" s="151" t="s">
        <v>146</v>
      </c>
      <c r="B2" s="149"/>
      <c r="C2" s="149"/>
      <c r="D2" s="149"/>
    </row>
    <row r="4" spans="1:4" ht="20" customHeight="1" x14ac:dyDescent="0.2">
      <c r="A4" s="164" t="s">
        <v>147</v>
      </c>
      <c r="B4" s="149"/>
      <c r="C4" s="149"/>
      <c r="D4" s="149"/>
    </row>
    <row r="5" spans="1:4" ht="18" customHeight="1" x14ac:dyDescent="0.2">
      <c r="A5" s="163" t="s">
        <v>148</v>
      </c>
      <c r="B5" s="149"/>
      <c r="C5" s="149"/>
      <c r="D5" s="149"/>
    </row>
    <row r="6" spans="1:4" ht="18" customHeight="1" x14ac:dyDescent="0.2">
      <c r="A6" s="141" t="s">
        <v>149</v>
      </c>
      <c r="B6" s="142" t="s">
        <v>150</v>
      </c>
      <c r="C6" s="165" t="s">
        <v>151</v>
      </c>
      <c r="D6" s="149"/>
    </row>
    <row r="7" spans="1:4" ht="18" customHeight="1" x14ac:dyDescent="0.2">
      <c r="A7" s="132" t="s">
        <v>152</v>
      </c>
      <c r="B7" s="136" t="s">
        <v>153</v>
      </c>
      <c r="C7" s="152" t="s">
        <v>154</v>
      </c>
      <c r="D7" s="149"/>
    </row>
    <row r="8" spans="1:4" ht="18" customHeight="1" x14ac:dyDescent="0.2">
      <c r="A8" s="141" t="s">
        <v>155</v>
      </c>
      <c r="B8" s="142" t="s">
        <v>156</v>
      </c>
      <c r="C8" s="165" t="s">
        <v>157</v>
      </c>
      <c r="D8" s="149"/>
    </row>
    <row r="9" spans="1:4" ht="18" customHeight="1" x14ac:dyDescent="0.2">
      <c r="A9" s="132" t="s">
        <v>158</v>
      </c>
      <c r="B9" s="136" t="s">
        <v>159</v>
      </c>
      <c r="C9" s="152" t="s">
        <v>160</v>
      </c>
      <c r="D9" s="149"/>
    </row>
    <row r="11" spans="1:4" ht="18" customHeight="1" x14ac:dyDescent="0.2">
      <c r="A11" s="163" t="s">
        <v>161</v>
      </c>
      <c r="B11" s="149"/>
      <c r="C11" s="149"/>
      <c r="D11" s="149"/>
    </row>
    <row r="12" spans="1:4" ht="18" customHeight="1" x14ac:dyDescent="0.2">
      <c r="A12" s="166" t="s">
        <v>162</v>
      </c>
      <c r="B12" s="149"/>
      <c r="C12" s="149"/>
      <c r="D12" s="149"/>
    </row>
    <row r="13" spans="1:4" ht="18" customHeight="1" x14ac:dyDescent="0.2">
      <c r="A13" s="167" t="s">
        <v>163</v>
      </c>
      <c r="B13" s="149"/>
      <c r="C13" s="149"/>
      <c r="D13" s="149"/>
    </row>
    <row r="14" spans="1:4" ht="18" customHeight="1" x14ac:dyDescent="0.2">
      <c r="A14" s="166" t="s">
        <v>164</v>
      </c>
      <c r="B14" s="149"/>
      <c r="C14" s="149"/>
      <c r="D14" s="149"/>
    </row>
    <row r="15" spans="1:4" ht="18" customHeight="1" x14ac:dyDescent="0.2">
      <c r="A15" s="167" t="s">
        <v>165</v>
      </c>
      <c r="B15" s="149"/>
      <c r="C15" s="149"/>
      <c r="D15" s="149"/>
    </row>
    <row r="17" spans="1:4" ht="20" customHeight="1" x14ac:dyDescent="0.2">
      <c r="A17" s="164" t="s">
        <v>166</v>
      </c>
      <c r="B17" s="149"/>
      <c r="C17" s="149"/>
      <c r="D17" s="149"/>
    </row>
    <row r="18" spans="1:4" ht="18" customHeight="1" x14ac:dyDescent="0.2">
      <c r="A18" s="163" t="s">
        <v>167</v>
      </c>
      <c r="B18" s="149"/>
      <c r="C18" s="149"/>
      <c r="D18" s="149"/>
    </row>
    <row r="19" spans="1:4" ht="18" customHeight="1" x14ac:dyDescent="0.2">
      <c r="A19" s="141" t="s">
        <v>168</v>
      </c>
      <c r="B19" s="142" t="s">
        <v>169</v>
      </c>
      <c r="C19" s="165" t="s">
        <v>170</v>
      </c>
      <c r="D19" s="149"/>
    </row>
    <row r="20" spans="1:4" ht="18" customHeight="1" x14ac:dyDescent="0.2">
      <c r="A20" s="132" t="s">
        <v>171</v>
      </c>
      <c r="B20" s="136" t="s">
        <v>172</v>
      </c>
      <c r="C20" s="152" t="s">
        <v>173</v>
      </c>
      <c r="D20" s="149"/>
    </row>
    <row r="21" spans="1:4" ht="18" customHeight="1" x14ac:dyDescent="0.2">
      <c r="A21" s="141" t="s">
        <v>174</v>
      </c>
      <c r="B21" s="142" t="s">
        <v>175</v>
      </c>
      <c r="C21" s="165" t="s">
        <v>176</v>
      </c>
      <c r="D21" s="149"/>
    </row>
    <row r="23" spans="1:4" ht="18" customHeight="1" x14ac:dyDescent="0.2">
      <c r="A23" s="163" t="s">
        <v>177</v>
      </c>
      <c r="B23" s="149"/>
      <c r="C23" s="149"/>
      <c r="D23" s="149"/>
    </row>
    <row r="24" spans="1:4" ht="18" customHeight="1" x14ac:dyDescent="0.2">
      <c r="A24" s="166" t="s">
        <v>178</v>
      </c>
      <c r="B24" s="149"/>
      <c r="C24" s="149"/>
      <c r="D24" s="149"/>
    </row>
    <row r="25" spans="1:4" ht="18" customHeight="1" x14ac:dyDescent="0.2">
      <c r="A25" s="167" t="s">
        <v>179</v>
      </c>
      <c r="B25" s="149"/>
      <c r="C25" s="149"/>
      <c r="D25" s="149"/>
    </row>
    <row r="26" spans="1:4" ht="18" customHeight="1" x14ac:dyDescent="0.2">
      <c r="A26" s="166" t="s">
        <v>180</v>
      </c>
      <c r="B26" s="149"/>
      <c r="C26" s="149"/>
      <c r="D26" s="149"/>
    </row>
    <row r="27" spans="1:4" ht="18" customHeight="1" x14ac:dyDescent="0.2">
      <c r="A27" s="167" t="s">
        <v>181</v>
      </c>
      <c r="B27" s="149"/>
      <c r="C27" s="149"/>
      <c r="D27" s="149"/>
    </row>
    <row r="29" spans="1:4" ht="20" customHeight="1" x14ac:dyDescent="0.2">
      <c r="A29" s="164" t="s">
        <v>182</v>
      </c>
      <c r="B29" s="149"/>
      <c r="C29" s="149"/>
      <c r="D29" s="149"/>
    </row>
    <row r="30" spans="1:4" ht="18" customHeight="1" x14ac:dyDescent="0.2">
      <c r="A30" s="163" t="s">
        <v>183</v>
      </c>
      <c r="B30" s="149"/>
      <c r="C30" s="149"/>
      <c r="D30" s="149"/>
    </row>
    <row r="31" spans="1:4" ht="18" customHeight="1" x14ac:dyDescent="0.2">
      <c r="A31" s="141" t="s">
        <v>184</v>
      </c>
      <c r="B31" s="142" t="s">
        <v>185</v>
      </c>
      <c r="C31" s="165" t="s">
        <v>186</v>
      </c>
      <c r="D31" s="149"/>
    </row>
    <row r="32" spans="1:4" ht="18" customHeight="1" x14ac:dyDescent="0.2">
      <c r="A32" s="132" t="s">
        <v>187</v>
      </c>
      <c r="B32" s="136" t="s">
        <v>188</v>
      </c>
      <c r="C32" s="152" t="s">
        <v>189</v>
      </c>
      <c r="D32" s="149"/>
    </row>
    <row r="33" spans="1:4" ht="18" customHeight="1" x14ac:dyDescent="0.2">
      <c r="A33" s="141" t="s">
        <v>190</v>
      </c>
      <c r="B33" s="142" t="s">
        <v>191</v>
      </c>
      <c r="C33" s="165" t="s">
        <v>192</v>
      </c>
      <c r="D33" s="149"/>
    </row>
    <row r="35" spans="1:4" ht="18" customHeight="1" x14ac:dyDescent="0.2">
      <c r="A35" s="163" t="s">
        <v>193</v>
      </c>
      <c r="B35" s="149"/>
      <c r="C35" s="149"/>
      <c r="D35" s="149"/>
    </row>
    <row r="36" spans="1:4" ht="18" customHeight="1" x14ac:dyDescent="0.2">
      <c r="A36" s="166" t="s">
        <v>194</v>
      </c>
      <c r="B36" s="149"/>
      <c r="C36" s="149"/>
      <c r="D36" s="149"/>
    </row>
    <row r="37" spans="1:4" ht="18" customHeight="1" x14ac:dyDescent="0.2">
      <c r="A37" s="167" t="s">
        <v>195</v>
      </c>
      <c r="B37" s="149"/>
      <c r="C37" s="149"/>
      <c r="D37" s="149"/>
    </row>
    <row r="38" spans="1:4" ht="18" customHeight="1" x14ac:dyDescent="0.2">
      <c r="A38" s="166" t="s">
        <v>196</v>
      </c>
      <c r="B38" s="149"/>
      <c r="C38" s="149"/>
      <c r="D38" s="149"/>
    </row>
    <row r="40" spans="1:4" ht="20" customHeight="1" x14ac:dyDescent="0.2">
      <c r="A40" s="164" t="s">
        <v>197</v>
      </c>
      <c r="B40" s="149"/>
      <c r="C40" s="149"/>
      <c r="D40" s="149"/>
    </row>
    <row r="41" spans="1:4" ht="18" customHeight="1" x14ac:dyDescent="0.2">
      <c r="A41" s="163" t="s">
        <v>198</v>
      </c>
      <c r="B41" s="149"/>
      <c r="C41" s="149"/>
      <c r="D41" s="149"/>
    </row>
    <row r="42" spans="1:4" ht="18" customHeight="1" x14ac:dyDescent="0.2">
      <c r="A42" s="141" t="s">
        <v>199</v>
      </c>
      <c r="B42" s="142" t="s">
        <v>200</v>
      </c>
      <c r="C42" s="165" t="s">
        <v>201</v>
      </c>
      <c r="D42" s="149"/>
    </row>
    <row r="43" spans="1:4" ht="18" customHeight="1" x14ac:dyDescent="0.2">
      <c r="A43" s="132" t="s">
        <v>202</v>
      </c>
      <c r="B43" s="136" t="s">
        <v>203</v>
      </c>
      <c r="C43" s="152" t="s">
        <v>204</v>
      </c>
      <c r="D43" s="149"/>
    </row>
    <row r="44" spans="1:4" ht="18" customHeight="1" x14ac:dyDescent="0.2">
      <c r="A44" s="141" t="s">
        <v>205</v>
      </c>
      <c r="B44" s="142" t="s">
        <v>206</v>
      </c>
      <c r="C44" s="165" t="s">
        <v>207</v>
      </c>
      <c r="D44" s="149"/>
    </row>
    <row r="46" spans="1:4" ht="18" customHeight="1" x14ac:dyDescent="0.2">
      <c r="A46" s="166" t="s">
        <v>208</v>
      </c>
      <c r="B46" s="149"/>
      <c r="C46" s="149"/>
      <c r="D46" s="149"/>
    </row>
    <row r="47" spans="1:4" ht="18" customHeight="1" x14ac:dyDescent="0.2">
      <c r="A47" s="167" t="s">
        <v>209</v>
      </c>
      <c r="B47" s="149"/>
      <c r="C47" s="149"/>
      <c r="D47" s="149"/>
    </row>
    <row r="48" spans="1:4" ht="18" customHeight="1" x14ac:dyDescent="0.2">
      <c r="A48" s="166" t="s">
        <v>210</v>
      </c>
      <c r="B48" s="149"/>
      <c r="C48" s="149"/>
      <c r="D48" s="149"/>
    </row>
    <row r="50" spans="1:4" ht="20" customHeight="1" x14ac:dyDescent="0.2">
      <c r="A50" s="164" t="s">
        <v>211</v>
      </c>
      <c r="B50" s="149"/>
      <c r="C50" s="149"/>
      <c r="D50" s="149"/>
    </row>
    <row r="51" spans="1:4" ht="18" customHeight="1" x14ac:dyDescent="0.2">
      <c r="A51" s="166" t="s">
        <v>212</v>
      </c>
      <c r="B51" s="149"/>
      <c r="C51" s="149"/>
      <c r="D51" s="149"/>
    </row>
    <row r="52" spans="1:4" ht="18" customHeight="1" x14ac:dyDescent="0.2">
      <c r="A52" s="167" t="s">
        <v>213</v>
      </c>
      <c r="B52" s="149"/>
      <c r="C52" s="149"/>
      <c r="D52" s="149"/>
    </row>
    <row r="53" spans="1:4" ht="18" customHeight="1" x14ac:dyDescent="0.2">
      <c r="A53" s="166" t="s">
        <v>214</v>
      </c>
      <c r="B53" s="149"/>
      <c r="C53" s="149"/>
      <c r="D53" s="149"/>
    </row>
    <row r="54" spans="1:4" ht="18" customHeight="1" x14ac:dyDescent="0.2">
      <c r="A54" s="167" t="s">
        <v>215</v>
      </c>
      <c r="B54" s="149"/>
      <c r="C54" s="149"/>
      <c r="D54" s="149"/>
    </row>
    <row r="55" spans="1:4" ht="18" customHeight="1" x14ac:dyDescent="0.2">
      <c r="A55" s="166" t="s">
        <v>216</v>
      </c>
      <c r="B55" s="149"/>
      <c r="C55" s="149"/>
      <c r="D55" s="149"/>
    </row>
    <row r="57" spans="1:4" ht="20" customHeight="1" x14ac:dyDescent="0.2">
      <c r="A57" s="164" t="s">
        <v>217</v>
      </c>
      <c r="B57" s="149"/>
      <c r="C57" s="149"/>
      <c r="D57" s="149"/>
    </row>
    <row r="58" spans="1:4" ht="18" customHeight="1" x14ac:dyDescent="0.2">
      <c r="A58" s="166" t="s">
        <v>218</v>
      </c>
      <c r="B58" s="149"/>
      <c r="C58" s="149"/>
      <c r="D58" s="149"/>
    </row>
    <row r="59" spans="1:4" ht="18" customHeight="1" x14ac:dyDescent="0.2">
      <c r="A59" s="167" t="s">
        <v>219</v>
      </c>
      <c r="B59" s="149"/>
      <c r="C59" s="149"/>
      <c r="D59" s="149"/>
    </row>
    <row r="60" spans="1:4" ht="18" customHeight="1" x14ac:dyDescent="0.2">
      <c r="A60" s="166" t="s">
        <v>220</v>
      </c>
      <c r="B60" s="149"/>
      <c r="C60" s="149"/>
      <c r="D60" s="149"/>
    </row>
    <row r="61" spans="1:4" ht="18" customHeight="1" x14ac:dyDescent="0.2">
      <c r="A61" s="167" t="s">
        <v>221</v>
      </c>
      <c r="B61" s="149"/>
      <c r="C61" s="149"/>
      <c r="D61" s="149"/>
    </row>
    <row r="62" spans="1:4" ht="18" customHeight="1" x14ac:dyDescent="0.2">
      <c r="A62" s="166" t="s">
        <v>222</v>
      </c>
      <c r="B62" s="149"/>
      <c r="C62" s="149"/>
      <c r="D62" s="149"/>
    </row>
    <row r="64" spans="1:4" ht="20" customHeight="1" x14ac:dyDescent="0.2">
      <c r="A64" s="164" t="s">
        <v>223</v>
      </c>
      <c r="B64" s="149"/>
      <c r="C64" s="149"/>
      <c r="D64" s="149"/>
    </row>
    <row r="65" spans="1:4" ht="18" customHeight="1" x14ac:dyDescent="0.2">
      <c r="A65" s="141" t="s">
        <v>224</v>
      </c>
      <c r="B65" s="142" t="s">
        <v>225</v>
      </c>
      <c r="C65" s="165" t="s">
        <v>226</v>
      </c>
      <c r="D65" s="149"/>
    </row>
    <row r="66" spans="1:4" ht="18" customHeight="1" x14ac:dyDescent="0.2">
      <c r="A66" s="132" t="s">
        <v>227</v>
      </c>
      <c r="B66" s="136" t="s">
        <v>228</v>
      </c>
      <c r="C66" s="152" t="s">
        <v>229</v>
      </c>
      <c r="D66" s="149"/>
    </row>
    <row r="67" spans="1:4" ht="18" customHeight="1" x14ac:dyDescent="0.2">
      <c r="A67" s="141" t="s">
        <v>230</v>
      </c>
      <c r="B67" s="142" t="s">
        <v>231</v>
      </c>
      <c r="C67" s="165" t="s">
        <v>232</v>
      </c>
      <c r="D67" s="149"/>
    </row>
    <row r="68" spans="1:4" ht="18" customHeight="1" x14ac:dyDescent="0.2">
      <c r="A68" s="132" t="s">
        <v>233</v>
      </c>
      <c r="B68" s="136" t="s">
        <v>234</v>
      </c>
      <c r="C68" s="152" t="s">
        <v>235</v>
      </c>
      <c r="D68" s="149"/>
    </row>
    <row r="70" spans="1:4" ht="24" customHeight="1" x14ac:dyDescent="0.2">
      <c r="A70" s="152" t="s">
        <v>236</v>
      </c>
      <c r="B70" s="149"/>
      <c r="C70" s="149"/>
      <c r="D70" s="149"/>
    </row>
  </sheetData>
  <mergeCells count="58">
    <mergeCell ref="C66:D66"/>
    <mergeCell ref="A57:D57"/>
    <mergeCell ref="A2:D2"/>
    <mergeCell ref="A47:D47"/>
    <mergeCell ref="A14:D14"/>
    <mergeCell ref="A12:D12"/>
    <mergeCell ref="A50:D50"/>
    <mergeCell ref="A26:D26"/>
    <mergeCell ref="C19:D19"/>
    <mergeCell ref="A55:D55"/>
    <mergeCell ref="A1:D1"/>
    <mergeCell ref="C43:D43"/>
    <mergeCell ref="A70:D70"/>
    <mergeCell ref="C21:D21"/>
    <mergeCell ref="A61:D61"/>
    <mergeCell ref="A54:D54"/>
    <mergeCell ref="A25:D25"/>
    <mergeCell ref="A41:D41"/>
    <mergeCell ref="A46:D46"/>
    <mergeCell ref="C8:D8"/>
    <mergeCell ref="A37:D37"/>
    <mergeCell ref="A18:D18"/>
    <mergeCell ref="A27:D27"/>
    <mergeCell ref="C32:D32"/>
    <mergeCell ref="C7:D7"/>
    <mergeCell ref="C67:D67"/>
    <mergeCell ref="A4:D4"/>
    <mergeCell ref="A35:D35"/>
    <mergeCell ref="A62:D62"/>
    <mergeCell ref="A38:D38"/>
    <mergeCell ref="C42:D42"/>
    <mergeCell ref="A29:D29"/>
    <mergeCell ref="A52:D52"/>
    <mergeCell ref="A13:D13"/>
    <mergeCell ref="C20:D20"/>
    <mergeCell ref="A40:D40"/>
    <mergeCell ref="A58:D58"/>
    <mergeCell ref="A48:D48"/>
    <mergeCell ref="A30:D30"/>
    <mergeCell ref="A15:D15"/>
    <mergeCell ref="A59:D59"/>
    <mergeCell ref="C44:D44"/>
    <mergeCell ref="A5:D5"/>
    <mergeCell ref="A17:D17"/>
    <mergeCell ref="A23:D23"/>
    <mergeCell ref="C6:D6"/>
    <mergeCell ref="C68:D68"/>
    <mergeCell ref="A53:D53"/>
    <mergeCell ref="C33:D33"/>
    <mergeCell ref="C65:D65"/>
    <mergeCell ref="A64:D64"/>
    <mergeCell ref="A24:D24"/>
    <mergeCell ref="A11:D11"/>
    <mergeCell ref="C9:D9"/>
    <mergeCell ref="C31:D31"/>
    <mergeCell ref="A51:D51"/>
    <mergeCell ref="A60:D60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Vodafone</vt:lpstr>
      <vt:lpstr>Meo</vt:lpstr>
      <vt:lpstr>Meo v2</vt:lpstr>
      <vt:lpstr>NOS</vt:lpstr>
      <vt:lpstr>NOS v2</vt:lpstr>
      <vt:lpstr>Fontes</vt:lpstr>
      <vt:lpstr>Insights Estratégicos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Baptista Rodrigues Da Costa</dc:creator>
  <cp:lastModifiedBy>Deny Sa</cp:lastModifiedBy>
  <dcterms:created xsi:type="dcterms:W3CDTF">2026-02-05T11:46:05Z</dcterms:created>
  <dcterms:modified xsi:type="dcterms:W3CDTF">2026-03-23T21:37:23Z</dcterms:modified>
</cp:coreProperties>
</file>