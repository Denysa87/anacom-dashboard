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360" tabRatio="600" firstSheet="0" activeTab="1" autoFilterDateGrouping="1"/>
  </bookViews>
  <sheets>
    <sheet xmlns:r="http://schemas.openxmlformats.org/officeDocument/2006/relationships" name="Vodafone" sheetId="1" state="visible" r:id="rId1"/>
    <sheet xmlns:r="http://schemas.openxmlformats.org/officeDocument/2006/relationships" name="Meo" sheetId="2" state="visible" r:id="rId2"/>
    <sheet xmlns:r="http://schemas.openxmlformats.org/officeDocument/2006/relationships" name="Meo v2" sheetId="3" state="visible" r:id="rId3"/>
    <sheet xmlns:r="http://schemas.openxmlformats.org/officeDocument/2006/relationships" name="NOS" sheetId="4" state="visible" r:id="rId4"/>
    <sheet xmlns:r="http://schemas.openxmlformats.org/officeDocument/2006/relationships" name="NOS v2" sheetId="5" state="visible" r:id="rId5"/>
    <sheet xmlns:r="http://schemas.openxmlformats.org/officeDocument/2006/relationships" name="Mercado PT" sheetId="6" state="visible" r:id="rId6"/>
    <sheet xmlns:r="http://schemas.openxmlformats.org/officeDocument/2006/relationships" name="Fontes" sheetId="7" state="visible" r:id="rId7"/>
    <sheet xmlns:r="http://schemas.openxmlformats.org/officeDocument/2006/relationships" name="Insights Estratégico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_([$€-2]\ * #,##0.00_);_([$€-2]\ * \(#,##0.00\);_([$€-2]\ * &quot;-&quot;??_);_(@_)"/>
    <numFmt numFmtId="165" formatCode="_([$€-2]\ * #,##0_);_([$€-2]\ * \(#,##0\);_([$€-2]\ * &quot;-&quot;??_);_(@_)"/>
    <numFmt numFmtId="166" formatCode="+0.00%;-0.00%;0.00%"/>
    <numFmt numFmtId="167" formatCode="€#,##0.000"/>
    <numFmt numFmtId="168" formatCode="+€#,##0.000;-€#,##0.000"/>
    <numFmt numFmtId="169" formatCode="+0.0%;-0.0%;0.0%"/>
    <numFmt numFmtId="170" formatCode="+0.0%"/>
    <numFmt numFmtId="171" formatCode="#,##0.0"/>
    <numFmt numFmtId="172" formatCode="0.0"/>
    <numFmt numFmtId="173" formatCode="0.0%"/>
  </numFmts>
  <fonts count="4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color theme="0"/>
      <sz val="12"/>
      <scheme val="minor"/>
    </font>
    <font>
      <name val="Aptos Narrow"/>
      <b val="1"/>
      <color theme="1"/>
      <sz val="12"/>
      <scheme val="minor"/>
    </font>
    <font>
      <name val="Aptos Narrow"/>
      <color theme="0"/>
      <sz val="12"/>
      <scheme val="minor"/>
    </font>
    <font>
      <name val="Aptos Narrow"/>
      <b val="1"/>
      <color theme="0"/>
      <sz val="12"/>
      <scheme val="minor"/>
    </font>
    <font>
      <name val="Aptos Narrow"/>
      <b val="1"/>
      <color theme="0"/>
      <sz val="14"/>
      <scheme val="minor"/>
    </font>
    <font>
      <name val="Aptos Narrow"/>
      <b val="1"/>
      <color theme="0"/>
      <sz val="16"/>
      <scheme val="minor"/>
    </font>
    <font>
      <name val="Aptos Narrow"/>
      <b val="1"/>
      <color theme="1"/>
      <sz val="14"/>
      <scheme val="minor"/>
    </font>
    <font>
      <name val="Aptos Narrow"/>
      <b val="1"/>
      <color rgb="FF000000"/>
      <sz val="14"/>
      <scheme val="minor"/>
    </font>
    <font>
      <name val="Aptos Narrow"/>
      <family val="2"/>
      <color rgb="FF000000"/>
      <sz val="12"/>
      <scheme val="minor"/>
    </font>
    <font>
      <name val="Aptos Narrow"/>
      <color theme="1"/>
      <sz val="14"/>
      <scheme val="minor"/>
    </font>
    <font>
      <name val="Aptos Narrow"/>
      <family val="2"/>
      <color theme="3" tint="0.499984740745262"/>
      <sz val="12"/>
      <scheme val="minor"/>
    </font>
    <font>
      <name val="Aptos Narrow"/>
      <color theme="1"/>
      <sz val="12"/>
      <scheme val="minor"/>
    </font>
    <font>
      <name val="Aptos Narrow"/>
      <color theme="3" tint="0.249977111117893"/>
      <sz val="12"/>
      <scheme val="minor"/>
    </font>
    <font>
      <name val="Aptos Narrow"/>
      <color theme="0" tint="-0.3499862666707358"/>
      <sz val="14"/>
      <scheme val="minor"/>
    </font>
    <font>
      <name val="Aptos Narrow"/>
      <color theme="0" tint="-0.3499862666707358"/>
      <sz val="10"/>
      <scheme val="minor"/>
    </font>
    <font>
      <name val="Aptos Narrow"/>
      <b val="1"/>
      <color rgb="FFFF0000"/>
      <sz val="14"/>
      <scheme val="minor"/>
    </font>
    <font>
      <name val="Aptos Narrow"/>
      <color rgb="FFFF0000"/>
      <sz val="12"/>
      <scheme val="minor"/>
    </font>
    <font>
      <name val="Aptos Narrow"/>
      <color rgb="FF0070C0"/>
      <sz val="14"/>
      <scheme val="minor"/>
    </font>
    <font>
      <name val="Aptos Narrow"/>
      <color rgb="FF000000"/>
      <sz val="12"/>
      <scheme val="minor"/>
    </font>
    <font>
      <name val="Aptos Narrow"/>
      <b val="1"/>
      <color theme="1"/>
      <sz val="20"/>
      <u val="single"/>
      <scheme val="minor"/>
    </font>
    <font>
      <b val="1"/>
      <color rgb="00FFFFFF"/>
      <sz val="11"/>
    </font>
    <font>
      <b val="1"/>
      <color rgb="00C00000"/>
      <sz val="9"/>
    </font>
    <font>
      <b val="1"/>
      <color rgb="007F4E00"/>
      <sz val="9"/>
    </font>
    <font>
      <b val="1"/>
      <color rgb="00FFFFFF"/>
      <sz val="10"/>
    </font>
    <font>
      <b val="1"/>
      <sz val="10"/>
    </font>
    <font>
      <sz val="10"/>
    </font>
    <font>
      <i val="1"/>
      <color rgb="00595959"/>
      <sz val="9"/>
    </font>
    <font>
      <b val="1"/>
      <color rgb="00FFFFFF"/>
      <sz val="12"/>
    </font>
    <font>
      <sz val="9"/>
    </font>
    <font>
      <b val="1"/>
      <color rgb="00FFFFFF"/>
      <sz val="13"/>
    </font>
    <font>
      <b val="1"/>
      <color rgb="001A7A3C"/>
      <sz val="9"/>
    </font>
    <font>
      <b val="1"/>
      <color rgb="001F4E79"/>
      <sz val="9"/>
    </font>
    <font>
      <b val="1"/>
      <sz val="9"/>
    </font>
    <font>
      <b val="1"/>
      <color rgb="00FFFFFF"/>
      <sz val="9"/>
    </font>
    <font>
      <b val="1"/>
      <color rgb="00000000"/>
      <sz val="11"/>
    </font>
    <font>
      <color rgb="00000000"/>
      <sz val="11"/>
    </font>
    <font>
      <color rgb="00595959"/>
      <sz val="9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</fonts>
  <fills count="4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3999755851924192"/>
        <bgColor rgb="FF0000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00E63F2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538135"/>
      </patternFill>
    </fill>
    <fill>
      <patternFill patternType="solid">
        <fgColor rgb="00E2EFDA"/>
      </patternFill>
    </fill>
    <fill>
      <patternFill patternType="solid">
        <fgColor rgb="00FF6B35"/>
      </patternFill>
    </fill>
    <fill>
      <patternFill patternType="solid">
        <fgColor rgb="001A7A3C"/>
      </patternFill>
    </fill>
    <fill>
      <patternFill patternType="solid">
        <fgColor rgb="00D9EAD3"/>
      </patternFill>
    </fill>
    <fill>
      <patternFill patternType="solid">
        <fgColor rgb="002C3E50"/>
      </patternFill>
    </fill>
    <fill>
      <patternFill patternType="solid">
        <fgColor rgb="00C5D9F1"/>
      </patternFill>
    </fill>
    <fill>
      <patternFill patternType="solid">
        <fgColor rgb="00FFE599"/>
      </patternFill>
    </fill>
    <fill>
      <patternFill patternType="solid">
        <fgColor rgb="004472C4"/>
      </patternFill>
    </fill>
    <fill>
      <patternFill patternType="solid">
        <fgColor rgb="000070C0"/>
      </patternFill>
    </fill>
    <fill>
      <patternFill patternType="solid">
        <fgColor rgb="00E8000D"/>
      </patternFill>
    </fill>
    <fill>
      <patternFill patternType="solid">
        <fgColor rgb="00375623"/>
        <bgColor rgb="00375623"/>
      </patternFill>
    </fill>
    <fill>
      <patternFill patternType="solid">
        <fgColor rgb="00FFE599"/>
        <bgColor rgb="00FFE599"/>
      </patternFill>
    </fill>
    <fill>
      <patternFill patternType="solid">
        <fgColor rgb="00FFC000"/>
        <bgColor rgb="00FFC000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04040"/>
        <bgColor rgb="00404040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2F2F2"/>
        <bgColor rgb="00F2F2F2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1" fillId="0" borderId="0"/>
    <xf numFmtId="9" fontId="1" fillId="0" borderId="0"/>
  </cellStyleXfs>
  <cellXfs count="246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9" fontId="0" fillId="2" borderId="0" applyAlignment="1" pivotButton="0" quotePrefix="0" xfId="1">
      <alignment horizontal="center" vertical="center"/>
    </xf>
    <xf numFmtId="0" fontId="9" fillId="2" borderId="0" applyAlignment="1" pivotButton="0" quotePrefix="0" xfId="0">
      <alignment vertical="center"/>
    </xf>
    <xf numFmtId="164" fontId="0" fillId="2" borderId="0" applyAlignment="1" pivotButton="0" quotePrefix="0" xfId="0">
      <alignment horizontal="center" vertical="center"/>
    </xf>
    <xf numFmtId="9" fontId="0" fillId="2" borderId="0" applyAlignment="1" pivotButton="0" quotePrefix="0" xfId="1">
      <alignment horizontal="center" vertical="center"/>
    </xf>
    <xf numFmtId="0" fontId="9" fillId="2" borderId="2" applyAlignment="1" pivotButton="0" quotePrefix="0" xfId="0">
      <alignment vertical="center"/>
    </xf>
    <xf numFmtId="164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9" fontId="0" fillId="2" borderId="2" applyAlignment="1" pivotButton="0" quotePrefix="0" xfId="1">
      <alignment horizontal="center" vertical="center"/>
    </xf>
    <xf numFmtId="9" fontId="0" fillId="4" borderId="0" applyAlignment="1" pivotButton="0" quotePrefix="0" xfId="1">
      <alignment horizontal="center" vertical="center"/>
    </xf>
    <xf numFmtId="9" fontId="0" fillId="4" borderId="2" applyAlignment="1" pivotButton="0" quotePrefix="0" xfId="1">
      <alignment horizontal="center" vertical="center"/>
    </xf>
    <xf numFmtId="9" fontId="0" fillId="5" borderId="0" applyAlignment="1" pivotButton="0" quotePrefix="0" xfId="1">
      <alignment horizontal="center" vertical="center"/>
    </xf>
    <xf numFmtId="9" fontId="0" fillId="5" borderId="2" applyAlignment="1" pivotButton="0" quotePrefix="0" xfId="1">
      <alignment horizontal="center" vertical="center"/>
    </xf>
    <xf numFmtId="9" fontId="0" fillId="4" borderId="0" applyAlignment="1" pivotButton="0" quotePrefix="0" xfId="1">
      <alignment horizontal="center" vertical="center"/>
    </xf>
    <xf numFmtId="9" fontId="11" fillId="6" borderId="0" applyAlignment="1" pivotButton="0" quotePrefix="0" xfId="1">
      <alignment horizontal="center" vertical="center"/>
    </xf>
    <xf numFmtId="9" fontId="11" fillId="7" borderId="0" applyAlignment="1" pivotButton="0" quotePrefix="0" xfId="1">
      <alignment horizontal="center" vertical="center"/>
    </xf>
    <xf numFmtId="9" fontId="11" fillId="6" borderId="2" applyAlignment="1" pivotButton="0" quotePrefix="0" xfId="1">
      <alignment horizontal="center" vertical="center"/>
    </xf>
    <xf numFmtId="2" fontId="11" fillId="6" borderId="0" applyAlignment="1" pivotButton="0" quotePrefix="0" xfId="1">
      <alignment horizontal="center" vertical="center"/>
    </xf>
    <xf numFmtId="2" fontId="11" fillId="7" borderId="0" applyAlignment="1" pivotButton="0" quotePrefix="0" xfId="1">
      <alignment horizontal="center" vertical="center"/>
    </xf>
    <xf numFmtId="2" fontId="11" fillId="8" borderId="0" applyAlignment="1" pivotButton="0" quotePrefix="0" xfId="1">
      <alignment horizontal="center" vertical="center"/>
    </xf>
    <xf numFmtId="2" fontId="11" fillId="6" borderId="2" applyAlignment="1" pivotButton="0" quotePrefix="0" xfId="1">
      <alignment horizontal="center" vertical="center"/>
    </xf>
    <xf numFmtId="2" fontId="11" fillId="7" borderId="2" applyAlignment="1" pivotButton="0" quotePrefix="0" xfId="1">
      <alignment horizontal="center" vertical="center"/>
    </xf>
    <xf numFmtId="2" fontId="11" fillId="8" borderId="2" applyAlignment="1" pivotButton="0" quotePrefix="0" xfId="1">
      <alignment horizontal="center" vertical="center"/>
    </xf>
    <xf numFmtId="9" fontId="2" fillId="2" borderId="0" applyAlignment="1" pivotButton="0" quotePrefix="0" xfId="1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9" fontId="4" fillId="2" borderId="0" applyAlignment="1" pivotButton="0" quotePrefix="0" xfId="1">
      <alignment horizontal="center" vertical="center"/>
    </xf>
    <xf numFmtId="9" fontId="4" fillId="4" borderId="0" applyAlignment="1" pivotButton="0" quotePrefix="0" xfId="1">
      <alignment horizontal="center" vertical="center"/>
    </xf>
    <xf numFmtId="0" fontId="12" fillId="2" borderId="0" applyAlignment="1" pivotButton="0" quotePrefix="0" xfId="0">
      <alignment vertical="center"/>
    </xf>
    <xf numFmtId="0" fontId="12" fillId="2" borderId="2" applyAlignment="1" pivotButton="0" quotePrefix="0" xfId="0">
      <alignment vertical="center"/>
    </xf>
    <xf numFmtId="0" fontId="4" fillId="2" borderId="2" applyAlignment="1" pivotButton="0" quotePrefix="0" xfId="0">
      <alignment horizontal="center" vertical="center"/>
    </xf>
    <xf numFmtId="9" fontId="4" fillId="2" borderId="2" applyAlignment="1" pivotButton="0" quotePrefix="0" xfId="1">
      <alignment horizontal="center" vertical="center"/>
    </xf>
    <xf numFmtId="9" fontId="4" fillId="4" borderId="2" applyAlignment="1" pivotButton="0" quotePrefix="0" xfId="1">
      <alignment horizontal="center" vertical="center"/>
    </xf>
    <xf numFmtId="0" fontId="9" fillId="9" borderId="0" applyAlignment="1" pivotButton="0" quotePrefix="0" xfId="0">
      <alignment horizontal="left" vertical="center"/>
    </xf>
    <xf numFmtId="164" fontId="9" fillId="2" borderId="0" applyAlignment="1" pivotButton="0" quotePrefix="0" xfId="0">
      <alignment horizontal="center" vertical="center"/>
    </xf>
    <xf numFmtId="9" fontId="9" fillId="2" borderId="0" applyAlignment="1" pivotButton="0" quotePrefix="0" xfId="1">
      <alignment horizontal="center" vertical="center"/>
    </xf>
    <xf numFmtId="9" fontId="9" fillId="4" borderId="0" applyAlignment="1" pivotButton="0" quotePrefix="0" xfId="1">
      <alignment horizontal="center" vertical="center"/>
    </xf>
    <xf numFmtId="164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9" fontId="13" fillId="2" borderId="0" applyAlignment="1" pivotButton="0" quotePrefix="0" xfId="1">
      <alignment horizontal="center" vertical="center"/>
    </xf>
    <xf numFmtId="9" fontId="13" fillId="4" borderId="0" applyAlignment="1" pivotButton="0" quotePrefix="0" xfId="1">
      <alignment horizontal="center" vertical="center"/>
    </xf>
    <xf numFmtId="0" fontId="9" fillId="2" borderId="0" applyAlignment="1" pivotButton="0" quotePrefix="0" xfId="0">
      <alignment horizontal="left" vertical="center" wrapText="1"/>
    </xf>
    <xf numFmtId="9" fontId="14" fillId="2" borderId="0" applyAlignment="1" pivotButton="0" quotePrefix="0" xfId="1">
      <alignment horizontal="center" vertical="center"/>
    </xf>
    <xf numFmtId="9" fontId="14" fillId="4" borderId="0" applyAlignment="1" pivotButton="0" quotePrefix="0" xfId="1">
      <alignment horizontal="center" vertical="center"/>
    </xf>
    <xf numFmtId="164" fontId="14" fillId="4" borderId="2" applyAlignment="1" pivotButton="0" quotePrefix="0" xfId="0">
      <alignment horizontal="center" vertical="center"/>
    </xf>
    <xf numFmtId="9" fontId="6" fillId="2" borderId="0" applyAlignment="1" pivotButton="0" quotePrefix="0" xfId="1">
      <alignment horizontal="center" vertical="center"/>
    </xf>
    <xf numFmtId="164" fontId="6" fillId="2" borderId="0" applyAlignment="1" pivotButton="0" quotePrefix="0" xfId="0">
      <alignment horizontal="center" vertical="center"/>
    </xf>
    <xf numFmtId="9" fontId="6" fillId="10" borderId="3" applyAlignment="1" pivotButton="0" quotePrefix="0" xfId="1">
      <alignment horizontal="center" vertical="center"/>
    </xf>
    <xf numFmtId="0" fontId="16" fillId="2" borderId="0" applyAlignment="1" pivotButton="0" quotePrefix="0" xfId="0">
      <alignment vertical="center"/>
    </xf>
    <xf numFmtId="164" fontId="17" fillId="2" borderId="0" applyAlignment="1" pivotButton="0" quotePrefix="0" xfId="0">
      <alignment horizontal="center" vertical="center"/>
    </xf>
    <xf numFmtId="164" fontId="17" fillId="4" borderId="0" applyAlignment="1" pivotButton="0" quotePrefix="0" xfId="0">
      <alignment horizontal="center" vertical="center"/>
    </xf>
    <xf numFmtId="9" fontId="14" fillId="4" borderId="2" applyAlignment="1" pivotButton="0" quotePrefix="0" xfId="1">
      <alignment horizontal="center" vertical="center"/>
    </xf>
    <xf numFmtId="9" fontId="14" fillId="2" borderId="2" applyAlignment="1" pivotButton="0" quotePrefix="0" xfId="1">
      <alignment horizontal="center" vertical="center"/>
    </xf>
    <xf numFmtId="9" fontId="18" fillId="2" borderId="0" applyAlignment="1" pivotButton="0" quotePrefix="0" xfId="1">
      <alignment horizontal="center" vertical="center"/>
    </xf>
    <xf numFmtId="9" fontId="19" fillId="2" borderId="0" applyAlignment="1" pivotButton="0" quotePrefix="0" xfId="1">
      <alignment horizontal="center" vertical="center"/>
    </xf>
    <xf numFmtId="9" fontId="19" fillId="2" borderId="2" applyAlignment="1" pivotButton="0" quotePrefix="0" xfId="1">
      <alignment horizontal="center" vertical="center"/>
    </xf>
    <xf numFmtId="0" fontId="20" fillId="2" borderId="0" applyAlignment="1" pivotButton="0" quotePrefix="0" xfId="0">
      <alignment horizontal="left" vertical="center" indent="2"/>
    </xf>
    <xf numFmtId="9" fontId="13" fillId="2" borderId="0" applyAlignment="1" pivotButton="0" quotePrefix="0" xfId="1">
      <alignment horizontal="left" vertical="center" indent="8"/>
    </xf>
    <xf numFmtId="9" fontId="13" fillId="4" borderId="0" applyAlignment="1" pivotButton="0" quotePrefix="0" xfId="1">
      <alignment horizontal="left" vertical="center" indent="8"/>
    </xf>
    <xf numFmtId="9" fontId="13" fillId="10" borderId="1" applyAlignment="1" pivotButton="0" quotePrefix="0" xfId="1">
      <alignment horizontal="left" vertical="center" indent="8"/>
    </xf>
    <xf numFmtId="9" fontId="3" fillId="10" borderId="1" applyAlignment="1" pivotButton="0" quotePrefix="0" xfId="1">
      <alignment horizontal="center" vertical="center"/>
    </xf>
    <xf numFmtId="165" fontId="17" fillId="2" borderId="0" applyAlignment="1" pivotButton="0" quotePrefix="0" xfId="0">
      <alignment horizontal="center" vertical="center"/>
    </xf>
    <xf numFmtId="165" fontId="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165" fontId="13" fillId="2" borderId="0" applyAlignment="1" pivotButton="0" quotePrefix="0" xfId="0">
      <alignment horizontal="left" vertical="center" indent="3"/>
    </xf>
    <xf numFmtId="165" fontId="0" fillId="2" borderId="2" applyAlignment="1" pivotButton="0" quotePrefix="0" xfId="0">
      <alignment horizontal="center" vertical="center"/>
    </xf>
    <xf numFmtId="165" fontId="13" fillId="2" borderId="0" applyAlignment="1" pivotButton="0" quotePrefix="0" xfId="0">
      <alignment horizontal="center" vertical="center"/>
    </xf>
    <xf numFmtId="165" fontId="9" fillId="4" borderId="0" applyAlignment="1" pivotButton="0" quotePrefix="0" xfId="0">
      <alignment horizontal="center" vertical="center"/>
    </xf>
    <xf numFmtId="165" fontId="17" fillId="4" borderId="0" applyAlignment="1" pivotButton="0" quotePrefix="0" xfId="0">
      <alignment horizontal="center" vertical="center"/>
    </xf>
    <xf numFmtId="165" fontId="0" fillId="4" borderId="0" applyAlignment="1" pivotButton="0" quotePrefix="0" xfId="0">
      <alignment horizontal="center" vertical="center"/>
    </xf>
    <xf numFmtId="165" fontId="13" fillId="4" borderId="0" applyAlignment="1" pivotButton="0" quotePrefix="0" xfId="0">
      <alignment horizontal="center" vertical="center"/>
    </xf>
    <xf numFmtId="165" fontId="14" fillId="4" borderId="2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5" fontId="17" fillId="10" borderId="0" applyAlignment="1" pivotButton="0" quotePrefix="0" xfId="0">
      <alignment horizontal="center" vertical="center"/>
    </xf>
    <xf numFmtId="165" fontId="5" fillId="10" borderId="0" applyAlignment="1" pivotButton="0" quotePrefix="0" xfId="0">
      <alignment horizontal="center" vertical="center"/>
    </xf>
    <xf numFmtId="165" fontId="15" fillId="10" borderId="0" applyAlignment="1" pivotButton="0" quotePrefix="0" xfId="0">
      <alignment horizontal="center" vertical="center"/>
    </xf>
    <xf numFmtId="165" fontId="5" fillId="10" borderId="2" applyAlignment="1" pivotButton="0" quotePrefix="0" xfId="0">
      <alignment horizontal="center" vertical="center"/>
    </xf>
    <xf numFmtId="165" fontId="17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5" fillId="10" borderId="3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left" vertical="center"/>
    </xf>
    <xf numFmtId="9" fontId="4" fillId="2" borderId="0" applyAlignment="1" pivotButton="0" quotePrefix="0" xfId="1">
      <alignment horizontal="center" vertical="center"/>
    </xf>
    <xf numFmtId="9" fontId="4" fillId="4" borderId="0" applyAlignment="1" pivotButton="0" quotePrefix="0" xfId="1">
      <alignment horizontal="center" vertical="center"/>
    </xf>
    <xf numFmtId="164" fontId="14" fillId="4" borderId="0" applyAlignment="1" pivotButton="0" quotePrefix="0" xfId="0">
      <alignment horizontal="center" vertical="center"/>
    </xf>
    <xf numFmtId="165" fontId="14" fillId="2" borderId="0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9" fontId="21" fillId="7" borderId="2" applyAlignment="1" pivotButton="0" quotePrefix="0" xfId="1">
      <alignment horizontal="center" vertical="center"/>
    </xf>
    <xf numFmtId="9" fontId="7" fillId="10" borderId="1" applyAlignment="1" pivotButton="0" quotePrefix="0" xfId="1">
      <alignment horizontal="center" vertical="center"/>
    </xf>
    <xf numFmtId="9" fontId="5" fillId="11" borderId="1" applyAlignment="1" pivotButton="0" quotePrefix="0" xfId="1">
      <alignment horizontal="center" vertical="center"/>
    </xf>
    <xf numFmtId="9" fontId="5" fillId="11" borderId="3" applyAlignment="1" pivotButton="0" quotePrefix="0" xfId="1">
      <alignment horizontal="center" vertical="center"/>
    </xf>
    <xf numFmtId="0" fontId="10" fillId="13" borderId="0" applyAlignment="1" pivotButton="0" quotePrefix="0" xfId="0">
      <alignment horizontal="left" vertical="center"/>
    </xf>
    <xf numFmtId="9" fontId="11" fillId="13" borderId="0" applyAlignment="1" pivotButton="0" quotePrefix="0" xfId="1">
      <alignment horizontal="center" vertical="center"/>
    </xf>
    <xf numFmtId="9" fontId="21" fillId="13" borderId="0" applyAlignment="1" pivotButton="0" quotePrefix="0" xfId="1">
      <alignment horizontal="center" vertical="center"/>
    </xf>
    <xf numFmtId="9" fontId="5" fillId="13" borderId="0" applyAlignment="1" pivotButton="0" quotePrefix="0" xfId="1">
      <alignment horizontal="center" vertical="center"/>
    </xf>
    <xf numFmtId="1" fontId="11" fillId="13" borderId="0" applyAlignment="1" pivotButton="0" quotePrefix="1" xfId="1">
      <alignment horizontal="center" vertical="center"/>
    </xf>
    <xf numFmtId="2" fontId="11" fillId="13" borderId="0" applyAlignment="1" pivotButton="0" quotePrefix="1" xfId="1">
      <alignment horizontal="center" vertical="center"/>
    </xf>
    <xf numFmtId="2" fontId="11" fillId="13" borderId="0" applyAlignment="1" pivotButton="0" quotePrefix="0" xfId="1">
      <alignment horizontal="center" vertical="center"/>
    </xf>
    <xf numFmtId="165" fontId="4" fillId="4" borderId="2" applyAlignment="1" pivotButton="0" quotePrefix="0" xfId="0">
      <alignment horizontal="center" vertical="center"/>
    </xf>
    <xf numFmtId="165" fontId="7" fillId="10" borderId="3" applyAlignment="1" pivotButton="0" quotePrefix="0" xfId="0">
      <alignment horizontal="center" vertical="center"/>
    </xf>
    <xf numFmtId="0" fontId="22" fillId="2" borderId="0" applyAlignment="1" pivotButton="0" quotePrefix="0" xfId="0">
      <alignment vertical="center"/>
    </xf>
    <xf numFmtId="0" fontId="4" fillId="9" borderId="2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10" fillId="12" borderId="0" applyAlignment="1" pivotButton="0" quotePrefix="0" xfId="0">
      <alignment horizontal="left" vertical="center"/>
    </xf>
    <xf numFmtId="0" fontId="10" fillId="12" borderId="4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8" fillId="5" borderId="5" applyAlignment="1" pivotButton="0" quotePrefix="0" xfId="0">
      <alignment horizontal="center" vertical="center"/>
    </xf>
    <xf numFmtId="0" fontId="20" fillId="2" borderId="2" applyAlignment="1" pivotButton="0" quotePrefix="0" xfId="0">
      <alignment horizontal="left" vertical="center" indent="2"/>
    </xf>
    <xf numFmtId="165" fontId="13" fillId="2" borderId="2" applyAlignment="1" pivotButton="0" quotePrefix="0" xfId="0">
      <alignment horizontal="left" vertical="center" indent="3"/>
    </xf>
    <xf numFmtId="165" fontId="13" fillId="2" borderId="2" applyAlignment="1" pivotButton="0" quotePrefix="0" xfId="0">
      <alignment horizontal="center" vertical="center"/>
    </xf>
    <xf numFmtId="165" fontId="13" fillId="4" borderId="2" applyAlignment="1" pivotButton="0" quotePrefix="0" xfId="0">
      <alignment horizontal="center" vertical="center"/>
    </xf>
    <xf numFmtId="164" fontId="13" fillId="2" borderId="2" applyAlignment="1" pivotButton="0" quotePrefix="0" xfId="0">
      <alignment horizontal="center" vertical="center"/>
    </xf>
    <xf numFmtId="165" fontId="15" fillId="10" borderId="3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9" fontId="13" fillId="2" borderId="2" applyAlignment="1" pivotButton="0" quotePrefix="0" xfId="1">
      <alignment horizontal="center" vertical="center"/>
    </xf>
    <xf numFmtId="9" fontId="13" fillId="4" borderId="2" applyAlignment="1" pivotButton="0" quotePrefix="0" xfId="1">
      <alignment horizontal="center" vertical="center"/>
    </xf>
    <xf numFmtId="9" fontId="13" fillId="2" borderId="2" applyAlignment="1" pivotButton="0" quotePrefix="0" xfId="1">
      <alignment horizontal="left" vertical="center" indent="8"/>
    </xf>
    <xf numFmtId="9" fontId="13" fillId="4" borderId="2" applyAlignment="1" pivotButton="0" quotePrefix="0" xfId="1">
      <alignment horizontal="left" vertical="center" indent="8"/>
    </xf>
    <xf numFmtId="9" fontId="13" fillId="10" borderId="3" applyAlignment="1" pivotButton="0" quotePrefix="0" xfId="1">
      <alignment horizontal="left" vertical="center" indent="8"/>
    </xf>
    <xf numFmtId="0" fontId="0" fillId="2" borderId="2" pivotButton="0" quotePrefix="0" xfId="0"/>
    <xf numFmtId="9" fontId="7" fillId="10" borderId="3" applyAlignment="1" pivotButton="0" quotePrefix="0" xfId="1">
      <alignment horizontal="center" vertical="center"/>
    </xf>
    <xf numFmtId="9" fontId="9" fillId="2" borderId="2" applyAlignment="1" pivotButton="0" quotePrefix="0" xfId="1">
      <alignment horizontal="center" vertical="center"/>
    </xf>
    <xf numFmtId="165" fontId="4" fillId="2" borderId="2" applyAlignment="1" pivotButton="0" quotePrefix="0" xfId="0">
      <alignment horizontal="center" vertical="center"/>
    </xf>
    <xf numFmtId="9" fontId="18" fillId="2" borderId="2" applyAlignment="1" pivotButton="0" quotePrefix="0" xfId="1">
      <alignment horizontal="center" vertical="center"/>
    </xf>
    <xf numFmtId="165" fontId="7" fillId="10" borderId="7" applyAlignment="1" pivotButton="0" quotePrefix="0" xfId="0">
      <alignment horizontal="center" vertical="center"/>
    </xf>
    <xf numFmtId="9" fontId="19" fillId="4" borderId="2" applyAlignment="1" pivotButton="0" quotePrefix="0" xfId="1">
      <alignment horizontal="center" vertical="center"/>
    </xf>
    <xf numFmtId="9" fontId="19" fillId="4" borderId="0" applyAlignment="1" pivotButton="0" quotePrefix="0" xfId="1">
      <alignment horizontal="center" vertical="center"/>
    </xf>
    <xf numFmtId="9" fontId="18" fillId="4" borderId="0" applyAlignment="1" pivotButton="0" quotePrefix="0" xfId="1">
      <alignment horizontal="center" vertical="center"/>
    </xf>
    <xf numFmtId="9" fontId="18" fillId="4" borderId="2" applyAlignment="1" pivotButton="0" quotePrefix="0" xfId="1">
      <alignment horizontal="center" vertical="center"/>
    </xf>
    <xf numFmtId="0" fontId="23" fillId="14" borderId="0" applyAlignment="1" pivotButton="0" quotePrefix="0" xfId="0">
      <alignment horizontal="left" vertical="center" wrapText="1"/>
    </xf>
    <xf numFmtId="0" fontId="24" fillId="15" borderId="0" applyAlignment="1" pivotButton="0" quotePrefix="0" xfId="0">
      <alignment horizontal="left" vertical="center" wrapText="1"/>
    </xf>
    <xf numFmtId="0" fontId="25" fillId="15" borderId="0" applyAlignment="1" pivotButton="0" quotePrefix="0" xfId="0">
      <alignment horizontal="left" vertical="center" wrapText="1"/>
    </xf>
    <xf numFmtId="0" fontId="26" fillId="16" borderId="0" applyAlignment="1" pivotButton="0" quotePrefix="0" xfId="0">
      <alignment horizontal="center" vertical="center" wrapText="1"/>
    </xf>
    <xf numFmtId="0" fontId="26" fillId="17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3" fontId="28" fillId="18" borderId="0" applyAlignment="1" pivotButton="0" quotePrefix="0" xfId="0">
      <alignment horizontal="center" vertical="center" wrapText="1"/>
    </xf>
    <xf numFmtId="3" fontId="28" fillId="0" borderId="0" applyAlignment="1" pivotButton="0" quotePrefix="0" xfId="0">
      <alignment horizontal="center" vertical="center" wrapText="1"/>
    </xf>
    <xf numFmtId="10" fontId="28" fillId="18" borderId="0" applyAlignment="1" pivotButton="0" quotePrefix="0" xfId="0">
      <alignment horizontal="center" vertical="center" wrapText="1"/>
    </xf>
    <xf numFmtId="10" fontId="28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left" vertical="center" wrapText="1"/>
    </xf>
    <xf numFmtId="166" fontId="28" fillId="18" borderId="0" applyAlignment="1" pivotButton="0" quotePrefix="0" xfId="0">
      <alignment horizontal="center" vertical="center" wrapText="1"/>
    </xf>
    <xf numFmtId="166" fontId="28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30" fillId="19" borderId="0" applyAlignment="1" pivotButton="0" quotePrefix="0" xfId="0">
      <alignment horizontal="left" vertical="center" wrapText="1"/>
    </xf>
    <xf numFmtId="0" fontId="31" fillId="20" borderId="8" applyAlignment="1" pivotButton="0" quotePrefix="0" xfId="0">
      <alignment horizontal="left" vertical="center" wrapText="1"/>
    </xf>
    <xf numFmtId="0" fontId="31" fillId="0" borderId="8" applyAlignment="1" pivotButton="0" quotePrefix="0" xfId="0">
      <alignment horizontal="left" vertical="center" wrapText="1"/>
    </xf>
    <xf numFmtId="0" fontId="32" fillId="21" borderId="0" applyAlignment="1" pivotButton="0" quotePrefix="0" xfId="0">
      <alignment horizontal="left" vertical="center" wrapText="1"/>
    </xf>
    <xf numFmtId="0" fontId="23" fillId="22" borderId="0" applyAlignment="1" pivotButton="0" quotePrefix="0" xfId="0">
      <alignment horizontal="left" vertical="center" wrapText="1"/>
    </xf>
    <xf numFmtId="0" fontId="27" fillId="23" borderId="0" applyAlignment="1" pivotButton="0" quotePrefix="0" xfId="0">
      <alignment horizontal="left" vertical="center" wrapText="1"/>
    </xf>
    <xf numFmtId="0" fontId="27" fillId="20" borderId="0" applyAlignment="1" pivotButton="0" quotePrefix="0" xfId="0">
      <alignment horizontal="left" vertical="center" wrapText="1"/>
    </xf>
    <xf numFmtId="0" fontId="28" fillId="20" borderId="0" applyAlignment="1" pivotButton="0" quotePrefix="0" xfId="0">
      <alignment horizontal="left" vertical="center" wrapText="1"/>
    </xf>
    <xf numFmtId="0" fontId="29" fillId="20" borderId="0" applyAlignment="1" pivotButton="0" quotePrefix="0" xfId="0">
      <alignment horizontal="left" vertical="center" wrapText="1"/>
    </xf>
    <xf numFmtId="0" fontId="23" fillId="24" borderId="0" applyAlignment="1" pivotButton="0" quotePrefix="0" xfId="0">
      <alignment horizontal="left" vertical="center" wrapText="1"/>
    </xf>
    <xf numFmtId="0" fontId="0" fillId="18" borderId="0" applyAlignment="1" pivotButton="0" quotePrefix="0" xfId="0">
      <alignment horizontal="center" vertical="center"/>
    </xf>
    <xf numFmtId="9" fontId="0" fillId="18" borderId="0" applyAlignment="1" pivotButton="0" quotePrefix="0" xfId="1">
      <alignment horizontal="center" vertical="center"/>
    </xf>
    <xf numFmtId="9" fontId="3" fillId="18" borderId="1" applyAlignment="1" pivotButton="0" quotePrefix="0" xfId="1">
      <alignment horizontal="center" vertical="center"/>
    </xf>
    <xf numFmtId="165" fontId="0" fillId="18" borderId="0" applyAlignment="1" pivotButton="0" quotePrefix="0" xfId="0">
      <alignment horizontal="center" vertical="center"/>
    </xf>
    <xf numFmtId="165" fontId="0" fillId="18" borderId="2" applyAlignment="1" pivotButton="0" quotePrefix="0" xfId="0">
      <alignment horizontal="center" vertical="center"/>
    </xf>
    <xf numFmtId="165" fontId="14" fillId="18" borderId="0" applyAlignment="1" pivotButton="0" quotePrefix="0" xfId="0">
      <alignment horizontal="center" vertical="center"/>
    </xf>
    <xf numFmtId="165" fontId="14" fillId="18" borderId="2" applyAlignment="1" pivotButton="0" quotePrefix="0" xfId="0">
      <alignment horizontal="center" vertical="center"/>
    </xf>
    <xf numFmtId="0" fontId="23" fillId="25" borderId="0" applyAlignment="1" pivotButton="0" quotePrefix="0" xfId="0">
      <alignment horizontal="left" vertical="center" wrapText="1"/>
    </xf>
    <xf numFmtId="0" fontId="33" fillId="15" borderId="0" applyAlignment="1" pivotButton="0" quotePrefix="0" xfId="0">
      <alignment horizontal="left" vertical="center" wrapText="1"/>
    </xf>
    <xf numFmtId="165" fontId="9" fillId="26" borderId="0" applyAlignment="1" pivotButton="0" quotePrefix="0" xfId="0">
      <alignment horizontal="center" vertical="center"/>
    </xf>
    <xf numFmtId="165" fontId="13" fillId="26" borderId="0" applyAlignment="1" pivotButton="0" quotePrefix="0" xfId="0">
      <alignment horizontal="left" vertical="center" indent="3"/>
    </xf>
    <xf numFmtId="165" fontId="13" fillId="26" borderId="0" applyAlignment="1" pivotButton="0" quotePrefix="0" xfId="0">
      <alignment horizontal="center" vertical="center"/>
    </xf>
    <xf numFmtId="165" fontId="0" fillId="26" borderId="0" applyAlignment="1" pivotButton="0" quotePrefix="0" xfId="0">
      <alignment horizontal="center" vertical="center"/>
    </xf>
    <xf numFmtId="165" fontId="0" fillId="26" borderId="2" applyAlignment="1" pivotButton="0" quotePrefix="0" xfId="0">
      <alignment horizontal="center" vertical="center"/>
    </xf>
    <xf numFmtId="165" fontId="4" fillId="26" borderId="0" applyAlignment="1" pivotButton="0" quotePrefix="0" xfId="0">
      <alignment horizontal="center" vertical="center"/>
    </xf>
    <xf numFmtId="165" fontId="14" fillId="26" borderId="0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0" fontId="23" fillId="27" borderId="0" applyAlignment="1" pivotButton="0" quotePrefix="0" xfId="0">
      <alignment horizontal="left" vertical="center" wrapText="1"/>
    </xf>
    <xf numFmtId="3" fontId="28" fillId="26" borderId="0" applyAlignment="1" pivotButton="0" quotePrefix="0" xfId="0">
      <alignment horizontal="center" vertical="center" wrapText="1"/>
    </xf>
    <xf numFmtId="10" fontId="28" fillId="26" borderId="0" applyAlignment="1" pivotButton="0" quotePrefix="0" xfId="0">
      <alignment horizontal="center" vertical="center" wrapText="1"/>
    </xf>
    <xf numFmtId="166" fontId="28" fillId="26" borderId="0" applyAlignment="1" pivotButton="0" quotePrefix="0" xfId="0">
      <alignment horizontal="center" vertical="center" wrapText="1"/>
    </xf>
    <xf numFmtId="0" fontId="34" fillId="15" borderId="0" applyAlignment="1" pivotButton="0" quotePrefix="0" xfId="0">
      <alignment horizontal="left" vertical="center" wrapText="1"/>
    </xf>
    <xf numFmtId="3" fontId="28" fillId="28" borderId="0" applyAlignment="1" pivotButton="0" quotePrefix="0" xfId="0">
      <alignment horizontal="center" vertical="center" wrapText="1"/>
    </xf>
    <xf numFmtId="10" fontId="28" fillId="28" borderId="0" applyAlignment="1" pivotButton="0" quotePrefix="0" xfId="0">
      <alignment horizontal="center" vertical="center" wrapText="1"/>
    </xf>
    <xf numFmtId="166" fontId="28" fillId="28" borderId="0" applyAlignment="1" pivotButton="0" quotePrefix="0" xfId="0">
      <alignment horizontal="center" vertical="center" wrapText="1"/>
    </xf>
    <xf numFmtId="0" fontId="26" fillId="21" borderId="0" applyAlignment="1" pivotButton="0" quotePrefix="0" xfId="0">
      <alignment horizontal="left" vertical="center" wrapText="1"/>
    </xf>
    <xf numFmtId="167" fontId="28" fillId="26" borderId="0" applyAlignment="1" pivotButton="0" quotePrefix="0" xfId="0">
      <alignment horizontal="center" vertical="center" wrapText="1"/>
    </xf>
    <xf numFmtId="168" fontId="28" fillId="26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left" vertical="center" wrapText="1"/>
    </xf>
    <xf numFmtId="10" fontId="31" fillId="29" borderId="0" applyAlignment="1" pivotButton="0" quotePrefix="0" xfId="0">
      <alignment horizontal="center" vertical="center" wrapText="1"/>
    </xf>
    <xf numFmtId="10" fontId="31" fillId="0" borderId="0" applyAlignment="1" pivotButton="0" quotePrefix="0" xfId="0">
      <alignment horizontal="center" vertical="center" wrapText="1"/>
    </xf>
    <xf numFmtId="169" fontId="31" fillId="29" borderId="0" applyAlignment="1" pivotButton="0" quotePrefix="0" xfId="0">
      <alignment horizontal="center" vertical="center" wrapText="1"/>
    </xf>
    <xf numFmtId="169" fontId="31" fillId="0" borderId="0" applyAlignment="1" pivotButton="0" quotePrefix="0" xfId="0">
      <alignment horizontal="center" vertical="center" wrapText="1"/>
    </xf>
    <xf numFmtId="3" fontId="31" fillId="26" borderId="0" applyAlignment="1" pivotButton="0" quotePrefix="0" xfId="0">
      <alignment horizontal="center" vertical="center" wrapText="1"/>
    </xf>
    <xf numFmtId="170" fontId="31" fillId="26" borderId="0" applyAlignment="1" pivotButton="0" quotePrefix="0" xfId="0">
      <alignment horizontal="center" vertical="center" wrapText="1"/>
    </xf>
    <xf numFmtId="10" fontId="31" fillId="2" borderId="0" applyAlignment="1" pivotButton="0" quotePrefix="0" xfId="0">
      <alignment horizontal="center" vertical="center" wrapText="1"/>
    </xf>
    <xf numFmtId="169" fontId="31" fillId="2" borderId="0" applyAlignment="1" pivotButton="0" quotePrefix="0" xfId="0">
      <alignment horizontal="center" vertical="center" wrapText="1"/>
    </xf>
    <xf numFmtId="0" fontId="23" fillId="30" borderId="0" applyAlignment="1" pivotButton="0" quotePrefix="0" xfId="0">
      <alignment horizontal="left" vertical="center" wrapText="1"/>
    </xf>
    <xf numFmtId="171" fontId="31" fillId="29" borderId="0" applyAlignment="1" pivotButton="0" quotePrefix="0" xfId="0">
      <alignment horizontal="center" vertical="center" wrapText="1"/>
    </xf>
    <xf numFmtId="171" fontId="31" fillId="0" borderId="0" applyAlignment="1" pivotButton="0" quotePrefix="0" xfId="0">
      <alignment horizontal="center" vertical="center" wrapText="1"/>
    </xf>
    <xf numFmtId="170" fontId="31" fillId="29" borderId="0" applyAlignment="1" pivotButton="0" quotePrefix="0" xfId="0">
      <alignment horizontal="center" vertical="center" wrapText="1"/>
    </xf>
    <xf numFmtId="17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left" vertical="center" wrapText="1"/>
    </xf>
    <xf numFmtId="172" fontId="31" fillId="29" borderId="0" applyAlignment="1" pivotButton="0" quotePrefix="0" xfId="0">
      <alignment horizontal="center" vertical="center" wrapText="1"/>
    </xf>
    <xf numFmtId="172" fontId="31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/>
    </xf>
    <xf numFmtId="10" fontId="31" fillId="31" borderId="0" applyAlignment="1" pivotButton="0" quotePrefix="0" xfId="0">
      <alignment horizontal="center" vertical="center" wrapText="1"/>
    </xf>
    <xf numFmtId="169" fontId="31" fillId="31" borderId="0" applyAlignment="1" pivotButton="0" quotePrefix="0" xfId="0">
      <alignment horizontal="center" vertical="center" wrapText="1"/>
    </xf>
    <xf numFmtId="10" fontId="31" fillId="32" borderId="0" applyAlignment="1" pivotButton="0" quotePrefix="0" xfId="0">
      <alignment horizontal="center" vertical="center" wrapText="1"/>
    </xf>
    <xf numFmtId="169" fontId="31" fillId="32" borderId="0" applyAlignment="1" pivotButton="0" quotePrefix="0" xfId="0">
      <alignment horizontal="center" vertical="center" wrapText="1"/>
    </xf>
    <xf numFmtId="10" fontId="31" fillId="14" borderId="0" applyAlignment="1" pivotButton="0" quotePrefix="0" xfId="0">
      <alignment horizontal="center" vertical="center" wrapText="1"/>
    </xf>
    <xf numFmtId="169" fontId="31" fillId="14" borderId="0" applyAlignment="1" pivotButton="0" quotePrefix="0" xfId="0">
      <alignment horizontal="center" vertical="center" wrapText="1"/>
    </xf>
    <xf numFmtId="10" fontId="31" fillId="19" borderId="0" applyAlignment="1" pivotButton="0" quotePrefix="0" xfId="0">
      <alignment horizontal="center" vertical="center" wrapText="1"/>
    </xf>
    <xf numFmtId="0" fontId="35" fillId="20" borderId="0" applyAlignment="1" pivotButton="0" quotePrefix="0" xfId="0">
      <alignment horizontal="left" vertical="center" wrapText="1"/>
    </xf>
    <xf numFmtId="0" fontId="31" fillId="20" borderId="0" applyAlignment="1" pivotButton="0" quotePrefix="0" xfId="0">
      <alignment horizontal="left" vertical="center" wrapText="1"/>
    </xf>
    <xf numFmtId="0" fontId="35" fillId="2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23" fillId="33" borderId="0" pivotButton="0" quotePrefix="0" xfId="0"/>
    <xf numFmtId="0" fontId="37" fillId="0" borderId="0" pivotButton="0" quotePrefix="0" xfId="0"/>
    <xf numFmtId="0" fontId="38" fillId="0" borderId="0" pivotButton="0" quotePrefix="0" xfId="0"/>
    <xf numFmtId="173" fontId="0" fillId="34" borderId="0" pivotButton="0" quotePrefix="0" xfId="0"/>
    <xf numFmtId="3" fontId="0" fillId="35" borderId="0" pivotButton="0" quotePrefix="0" xfId="0"/>
    <xf numFmtId="173" fontId="0" fillId="35" borderId="0" pivotButton="0" quotePrefix="0" xfId="0"/>
    <xf numFmtId="0" fontId="39" fillId="0" borderId="0" pivotButton="0" quotePrefix="0" xfId="0"/>
    <xf numFmtId="0" fontId="40" fillId="20" borderId="0" applyAlignment="1" pivotButton="0" quotePrefix="0" xfId="0">
      <alignment horizontal="left" vertical="center" wrapText="1"/>
    </xf>
    <xf numFmtId="0" fontId="41" fillId="36" borderId="0" pivotButton="0" quotePrefix="0" xfId="0"/>
    <xf numFmtId="0" fontId="42" fillId="0" borderId="0" pivotButton="0" quotePrefix="0" xfId="0"/>
    <xf numFmtId="0" fontId="43" fillId="37" borderId="0" pivotButton="0" quotePrefix="0" xfId="0"/>
    <xf numFmtId="0" fontId="44" fillId="38" borderId="0" applyAlignment="1" pivotButton="0" quotePrefix="0" xfId="0">
      <alignment horizontal="center"/>
    </xf>
    <xf numFmtId="0" fontId="45" fillId="39" borderId="0" applyAlignment="1" pivotButton="0" quotePrefix="0" xfId="0">
      <alignment horizontal="left"/>
    </xf>
    <xf numFmtId="0" fontId="45" fillId="39" borderId="0" applyAlignment="1" pivotButton="0" quotePrefix="0" xfId="0">
      <alignment horizontal="center"/>
    </xf>
    <xf numFmtId="0" fontId="45" fillId="40" borderId="0" applyAlignment="1" pivotButton="0" quotePrefix="0" xfId="0">
      <alignment horizontal="left"/>
    </xf>
    <xf numFmtId="0" fontId="45" fillId="40" borderId="0" applyAlignment="1" pivotButton="0" quotePrefix="0" xfId="0">
      <alignment horizontal="center"/>
    </xf>
    <xf numFmtId="0" fontId="45" fillId="41" borderId="0" applyAlignment="1" pivotButton="0" quotePrefix="0" xfId="0">
      <alignment horizontal="left"/>
    </xf>
    <xf numFmtId="0" fontId="45" fillId="41" borderId="0" applyAlignment="1" pivotButton="0" quotePrefix="0" xfId="0">
      <alignment horizontal="center"/>
    </xf>
    <xf numFmtId="0" fontId="46" fillId="42" borderId="0" applyAlignment="1" pivotButton="0" quotePrefix="0" xfId="0">
      <alignment horizontal="left"/>
    </xf>
    <xf numFmtId="0" fontId="46" fillId="42" borderId="0" applyAlignment="1" pivotButton="0" quotePrefix="0" xfId="0">
      <alignment horizontal="center"/>
    </xf>
    <xf numFmtId="0" fontId="43" fillId="33" borderId="0" pivotButton="0" quotePrefix="0" xfId="0"/>
    <xf numFmtId="0" fontId="47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2" customHeight="1">
      <c r="A1" s="141" t="inlineStr">
        <is>
          <t>VODAFONE PORTUGAL — Financial &amp; Operational Performance</t>
        </is>
      </c>
    </row>
    <row r="2" ht="16" customHeight="1">
      <c r="A2" s="142" t="inlineStr">
        <is>
          <t>⚠️  FY NOTE: Vodafone FY = April→March  |  CY Q1=FY Q4  |  CY Q2=FY Q1  |  CY Q3=FY Q2  |  CY Q4=FY Q3</t>
        </is>
      </c>
    </row>
    <row r="3" ht="16" customHeight="1">
      <c r="A3" s="188" t="inlineStr">
        <is>
          <t>🟢 Verde = Confirmado (Vodafone Group quarterly docs)  |  🔵 Azul = Derivado de semestral confirmado (alocado proporcional. à srv. rev.)  |  🟠 Laranja = Estimativa</t>
        </is>
      </c>
    </row>
    <row r="4" ht="28" customHeight="1">
      <c r="A4" s="144" t="inlineStr">
        <is>
          <t>Financial KPI's</t>
        </is>
      </c>
      <c r="B4" s="144" t="inlineStr"/>
      <c r="C4" s="144" t="inlineStr">
        <is>
          <t>CYQ1'24</t>
        </is>
      </c>
      <c r="D4" s="144" t="inlineStr">
        <is>
          <t>CYQ2'24</t>
        </is>
      </c>
      <c r="E4" s="144" t="inlineStr">
        <is>
          <t>H1'24</t>
        </is>
      </c>
      <c r="F4" s="144" t="inlineStr">
        <is>
          <t>CYQ3'24</t>
        </is>
      </c>
      <c r="G4" s="144" t="inlineStr">
        <is>
          <t>CYQ4'24</t>
        </is>
      </c>
      <c r="H4" s="144" t="inlineStr">
        <is>
          <t>H2'24</t>
        </is>
      </c>
      <c r="I4" s="144" t="inlineStr">
        <is>
          <t>CY'24</t>
        </is>
      </c>
      <c r="J4" s="144" t="inlineStr">
        <is>
          <t>CYQ1'25</t>
        </is>
      </c>
      <c r="K4" s="144" t="inlineStr">
        <is>
          <t>CYQ2'25</t>
        </is>
      </c>
      <c r="L4" s="144" t="inlineStr">
        <is>
          <t>H1'25</t>
        </is>
      </c>
      <c r="M4" s="144" t="inlineStr">
        <is>
          <t>CYQ3'25</t>
        </is>
      </c>
      <c r="N4" s="144" t="inlineStr">
        <is>
          <t>CYQ4'25</t>
        </is>
      </c>
      <c r="O4" s="144" t="inlineStr">
        <is>
          <t>H2'25</t>
        </is>
      </c>
      <c r="P4" s="144" t="inlineStr">
        <is>
          <t>CY'25</t>
        </is>
      </c>
      <c r="Q4" s="144" t="inlineStr">
        <is>
          <t>Y/Y Q1'25</t>
        </is>
      </c>
      <c r="R4" s="144" t="inlineStr">
        <is>
          <t>Y/Y Q2'25</t>
        </is>
      </c>
      <c r="S4" s="144" t="inlineStr">
        <is>
          <t>Y/Y H1</t>
        </is>
      </c>
      <c r="T4" s="144" t="inlineStr">
        <is>
          <t>Y/Y Q3'25</t>
        </is>
      </c>
      <c r="U4" s="144" t="inlineStr">
        <is>
          <t>Y/Y Q4'25</t>
        </is>
      </c>
      <c r="V4" s="144" t="inlineStr">
        <is>
          <t>Y/Y H2</t>
        </is>
      </c>
      <c r="W4" s="144" t="inlineStr">
        <is>
          <t>Y/Y '25</t>
        </is>
      </c>
    </row>
    <row r="5" ht="18" customHeight="1">
      <c r="A5" s="145" t="inlineStr">
        <is>
          <t>Revenue €</t>
        </is>
      </c>
    </row>
    <row r="6" ht="16" customHeight="1">
      <c r="A6" s="146" t="inlineStr">
        <is>
          <t>Revenue €</t>
        </is>
      </c>
      <c r="B6" s="146" t="inlineStr">
        <is>
          <t>Service Revenue ✅</t>
        </is>
      </c>
      <c r="C6" s="185" t="n">
        <v>300000000</v>
      </c>
      <c r="D6" s="185" t="n">
        <v>312000000</v>
      </c>
      <c r="E6" s="185" t="n">
        <v>612000000</v>
      </c>
      <c r="F6" s="185" t="n">
        <v>319000000</v>
      </c>
      <c r="G6" s="185" t="n">
        <v>311000000</v>
      </c>
      <c r="H6" s="185" t="n">
        <v>630000000</v>
      </c>
      <c r="I6" s="185" t="n">
        <v>1242000000</v>
      </c>
      <c r="J6" s="185" t="n">
        <v>307000000</v>
      </c>
      <c r="K6" s="185" t="n">
        <v>307000000</v>
      </c>
      <c r="L6" s="185" t="n">
        <v>614000000</v>
      </c>
      <c r="M6" s="185" t="n">
        <v>316000000</v>
      </c>
      <c r="N6" s="185" t="n">
        <v>303000000</v>
      </c>
      <c r="O6" s="185" t="n">
        <v>619000000</v>
      </c>
      <c r="P6" s="185" t="n">
        <v>1233000000</v>
      </c>
      <c r="Q6" s="186" t="n">
        <v>0.02333333333333333</v>
      </c>
      <c r="R6" s="186" t="n">
        <v>-0.01602564102564102</v>
      </c>
      <c r="S6" s="186" t="n">
        <v>0.00326797385620915</v>
      </c>
      <c r="T6" s="186" t="n">
        <v>-0.009404388714733543</v>
      </c>
      <c r="U6" s="186" t="n">
        <v>-0.02572347266881029</v>
      </c>
      <c r="V6" s="186" t="n">
        <v>-0.01746031746031746</v>
      </c>
      <c r="W6" s="186" t="n">
        <v>-0.007246376811594203</v>
      </c>
    </row>
    <row r="7" ht="16" customHeight="1">
      <c r="A7" s="151" t="inlineStr"/>
      <c r="B7" s="146" t="inlineStr">
        <is>
          <t>Total Revenue ✓</t>
        </is>
      </c>
      <c r="C7" s="189" t="n">
        <v>334000000</v>
      </c>
      <c r="D7" s="189" t="n">
        <v>343000000</v>
      </c>
      <c r="E7" s="189" t="n">
        <v>677000000</v>
      </c>
      <c r="F7" s="189" t="n">
        <v>351000000</v>
      </c>
      <c r="G7" s="189" t="n">
        <v>347000000</v>
      </c>
      <c r="H7" s="189" t="n">
        <v>698000000</v>
      </c>
      <c r="I7" s="189" t="n">
        <v>1375000000</v>
      </c>
      <c r="J7" s="189" t="n">
        <v>343000000</v>
      </c>
      <c r="K7" s="189" t="n">
        <v>338000000</v>
      </c>
      <c r="L7" s="189" t="n">
        <v>681000000</v>
      </c>
      <c r="M7" s="189" t="n">
        <v>348000000</v>
      </c>
      <c r="N7" s="147" t="n">
        <v>334000000</v>
      </c>
      <c r="O7" s="189" t="n">
        <v>682000000</v>
      </c>
      <c r="P7" s="189" t="n">
        <v>1363000000</v>
      </c>
      <c r="Q7" s="190" t="n">
        <v>0.02694610778443114</v>
      </c>
      <c r="R7" s="190" t="n">
        <v>-0.01457725947521866</v>
      </c>
      <c r="S7" s="190" t="n">
        <v>0.005908419497784343</v>
      </c>
      <c r="T7" s="190" t="n">
        <v>-0.008547008547008548</v>
      </c>
      <c r="U7" s="190" t="n">
        <v>-0.03746397694524495</v>
      </c>
      <c r="V7" s="190" t="n">
        <v>-0.02292263610315186</v>
      </c>
      <c r="W7" s="190" t="n">
        <v>-0.008727272727272728</v>
      </c>
    </row>
    <row r="8" ht="16" customHeight="1">
      <c r="A8" s="151" t="inlineStr"/>
      <c r="B8" s="146" t="inlineStr">
        <is>
          <t>Eliminações</t>
        </is>
      </c>
      <c r="C8" s="147" t="n">
        <v>-5000000</v>
      </c>
      <c r="D8" s="147" t="n">
        <v>-5000000</v>
      </c>
      <c r="E8" s="147" t="n">
        <v>-10000000</v>
      </c>
      <c r="F8" s="147" t="n">
        <v>-5000000</v>
      </c>
      <c r="G8" s="147" t="n">
        <v>-5000000</v>
      </c>
      <c r="H8" s="147" t="n">
        <v>-10000000</v>
      </c>
      <c r="I8" s="147" t="n">
        <v>-20000000</v>
      </c>
      <c r="J8" s="147" t="n">
        <v>-5000000</v>
      </c>
      <c r="K8" s="147" t="n">
        <v>-5000000</v>
      </c>
      <c r="L8" s="147" t="n">
        <v>-10000000</v>
      </c>
      <c r="M8" s="147" t="n">
        <v>-5000000</v>
      </c>
      <c r="N8" s="147" t="n">
        <v>-5000000</v>
      </c>
      <c r="O8" s="147" t="n">
        <v>-10000000</v>
      </c>
      <c r="P8" s="147" t="n">
        <v>-20000000</v>
      </c>
      <c r="Q8" s="149" t="n">
        <v>0</v>
      </c>
      <c r="R8" s="149" t="n">
        <v>0</v>
      </c>
      <c r="S8" s="149" t="n">
        <v>0</v>
      </c>
      <c r="T8" s="149" t="n">
        <v>0</v>
      </c>
      <c r="U8" s="149" t="n">
        <v>0</v>
      </c>
      <c r="V8" s="149" t="n">
        <v>0</v>
      </c>
      <c r="W8" s="149" t="n">
        <v>0</v>
      </c>
    </row>
    <row r="9" ht="16" customHeight="1">
      <c r="A9" s="151" t="inlineStr"/>
      <c r="B9" s="146" t="inlineStr">
        <is>
          <t>Telco (svc net)</t>
        </is>
      </c>
      <c r="C9" s="185" t="n">
        <v>305000000</v>
      </c>
      <c r="D9" s="185" t="n">
        <v>317000000</v>
      </c>
      <c r="E9" s="185" t="n">
        <v>622000000</v>
      </c>
      <c r="F9" s="185" t="n">
        <v>324000000</v>
      </c>
      <c r="G9" s="185" t="n">
        <v>316000000</v>
      </c>
      <c r="H9" s="185" t="n">
        <v>640000000</v>
      </c>
      <c r="I9" s="185" t="n">
        <v>1262000000</v>
      </c>
      <c r="J9" s="185" t="n">
        <v>312000000</v>
      </c>
      <c r="K9" s="185" t="n">
        <v>312000000</v>
      </c>
      <c r="L9" s="185" t="n">
        <v>624000000</v>
      </c>
      <c r="M9" s="185" t="n">
        <v>321000000</v>
      </c>
      <c r="N9" s="185" t="n">
        <v>308000000</v>
      </c>
      <c r="O9" s="185" t="n">
        <v>629000000</v>
      </c>
      <c r="P9" s="185" t="n">
        <v>1253000000</v>
      </c>
      <c r="Q9" s="186" t="n">
        <v>0.02295081967213115</v>
      </c>
      <c r="R9" s="186" t="n">
        <v>-0.01577287066246057</v>
      </c>
      <c r="S9" s="186" t="n">
        <v>0.003215434083601286</v>
      </c>
      <c r="T9" s="186" t="n">
        <v>-0.009259259259259259</v>
      </c>
      <c r="U9" s="186" t="n">
        <v>-0.02531645569620253</v>
      </c>
      <c r="V9" s="186" t="n">
        <v>-0.0171875</v>
      </c>
      <c r="W9" s="186" t="n">
        <v>-0.007131537242472267</v>
      </c>
    </row>
    <row r="10" ht="16" customHeight="1">
      <c r="A10" s="151" t="inlineStr"/>
      <c r="B10" s="146" t="inlineStr">
        <is>
          <t>B2C (~70%)</t>
        </is>
      </c>
      <c r="C10" s="147" t="n">
        <v>213500000</v>
      </c>
      <c r="D10" s="147" t="n">
        <v>222000000</v>
      </c>
      <c r="E10" s="147" t="n">
        <v>435500000</v>
      </c>
      <c r="F10" s="147" t="n">
        <v>227000000</v>
      </c>
      <c r="G10" s="147" t="n">
        <v>221000000</v>
      </c>
      <c r="H10" s="147" t="n">
        <v>448000000</v>
      </c>
      <c r="I10" s="147" t="n">
        <v>883500000</v>
      </c>
      <c r="J10" s="147" t="n">
        <v>218500000</v>
      </c>
      <c r="K10" s="147" t="n">
        <v>218500000</v>
      </c>
      <c r="L10" s="147" t="n">
        <v>437000000</v>
      </c>
      <c r="M10" s="147" t="n">
        <v>224500000</v>
      </c>
      <c r="N10" s="147" t="n">
        <v>215500000</v>
      </c>
      <c r="O10" s="147" t="n">
        <v>440000000</v>
      </c>
      <c r="P10" s="147" t="n">
        <v>877000000</v>
      </c>
      <c r="Q10" s="149" t="n">
        <v>0.0234192037470726</v>
      </c>
      <c r="R10" s="149" t="n">
        <v>-0.01576576576576576</v>
      </c>
      <c r="S10" s="149" t="n">
        <v>0.003444316877152698</v>
      </c>
      <c r="T10" s="149" t="n">
        <v>-0.01101321585903084</v>
      </c>
      <c r="U10" s="149" t="n">
        <v>-0.0248868778280543</v>
      </c>
      <c r="V10" s="149" t="n">
        <v>-0.01785714285714286</v>
      </c>
      <c r="W10" s="149" t="n">
        <v>-0.007357102433503113</v>
      </c>
    </row>
    <row r="11" ht="16" customHeight="1">
      <c r="A11" s="151" t="inlineStr"/>
      <c r="B11" s="146" t="inlineStr">
        <is>
          <t>B2B (~30%)</t>
        </is>
      </c>
      <c r="C11" s="147" t="n">
        <v>91500000</v>
      </c>
      <c r="D11" s="147" t="n">
        <v>95000000</v>
      </c>
      <c r="E11" s="147" t="n">
        <v>186500000</v>
      </c>
      <c r="F11" s="147" t="n">
        <v>97000000</v>
      </c>
      <c r="G11" s="147" t="n">
        <v>95000000</v>
      </c>
      <c r="H11" s="147" t="n">
        <v>192000000</v>
      </c>
      <c r="I11" s="147" t="n">
        <v>378500000</v>
      </c>
      <c r="J11" s="147" t="n">
        <v>93500000</v>
      </c>
      <c r="K11" s="147" t="n">
        <v>93500000</v>
      </c>
      <c r="L11" s="147" t="n">
        <v>187000000</v>
      </c>
      <c r="M11" s="147" t="n">
        <v>96500000</v>
      </c>
      <c r="N11" s="147" t="n">
        <v>92500000</v>
      </c>
      <c r="O11" s="147" t="n">
        <v>189000000</v>
      </c>
      <c r="P11" s="147" t="n">
        <v>376000000</v>
      </c>
      <c r="Q11" s="149" t="n">
        <v>0.02185792349726776</v>
      </c>
      <c r="R11" s="149" t="n">
        <v>-0.01578947368421053</v>
      </c>
      <c r="S11" s="149" t="n">
        <v>0.002680965147453083</v>
      </c>
      <c r="T11" s="149" t="n">
        <v>-0.005154639175257732</v>
      </c>
      <c r="U11" s="149" t="n">
        <v>-0.02631578947368421</v>
      </c>
      <c r="V11" s="149" t="n">
        <v>-0.015625</v>
      </c>
      <c r="W11" s="149" t="n">
        <v>-0.006605019815059445</v>
      </c>
    </row>
    <row r="12" ht="18" customHeight="1">
      <c r="A12" s="145" t="inlineStr">
        <is>
          <t>Revenue weight (%)</t>
        </is>
      </c>
    </row>
    <row r="13" ht="16" customHeight="1">
      <c r="A13" s="146" t="inlineStr">
        <is>
          <t>Revenue weight (%)</t>
        </is>
      </c>
      <c r="B13" s="146" t="inlineStr">
        <is>
          <t>B2C</t>
        </is>
      </c>
      <c r="C13" s="149" t="n">
        <v>0.7</v>
      </c>
      <c r="D13" s="149" t="n">
        <v>0.7003154574132492</v>
      </c>
      <c r="E13" s="149" t="n">
        <v>0.7001607717041801</v>
      </c>
      <c r="F13" s="149" t="n">
        <v>0.7006172839506173</v>
      </c>
      <c r="G13" s="149" t="n">
        <v>0.6993670886075949</v>
      </c>
      <c r="H13" s="149" t="n">
        <v>0.7</v>
      </c>
      <c r="I13" s="149" t="n">
        <v>0.7000792393026941</v>
      </c>
      <c r="J13" s="149" t="n">
        <v>0.7003205128205128</v>
      </c>
      <c r="K13" s="149" t="n">
        <v>0.7003205128205128</v>
      </c>
      <c r="L13" s="149" t="n">
        <v>0.7003205128205128</v>
      </c>
      <c r="M13" s="149" t="n">
        <v>0.6993769470404985</v>
      </c>
      <c r="N13" s="149" t="n">
        <v>0.6996753246753247</v>
      </c>
      <c r="O13" s="149" t="n">
        <v>0.699523052464229</v>
      </c>
      <c r="P13" s="149" t="n">
        <v>0.6999201915403033</v>
      </c>
      <c r="Q13" s="152" t="n">
        <v>0.0003205128205128194</v>
      </c>
      <c r="R13" s="152" t="n">
        <v>5.055407263587774e-06</v>
      </c>
      <c r="S13" s="152" t="n">
        <v>0.0001597411163326568</v>
      </c>
      <c r="T13" s="152" t="n">
        <v>-0.001240336910118822</v>
      </c>
      <c r="U13" s="152" t="n">
        <v>0.0003082360677297835</v>
      </c>
      <c r="V13" s="153" t="n"/>
      <c r="W13" s="153" t="n"/>
    </row>
    <row r="14" ht="16" customHeight="1">
      <c r="A14" s="151" t="inlineStr"/>
      <c r="B14" s="146" t="inlineStr">
        <is>
          <t>B2B</t>
        </is>
      </c>
      <c r="C14" s="149" t="n">
        <v>0.3</v>
      </c>
      <c r="D14" s="149" t="n">
        <v>0.2996845425867508</v>
      </c>
      <c r="E14" s="149" t="n">
        <v>0.2998392282958199</v>
      </c>
      <c r="F14" s="149" t="n">
        <v>0.2993827160493827</v>
      </c>
      <c r="G14" s="149" t="n">
        <v>0.3006329113924051</v>
      </c>
      <c r="H14" s="149" t="n">
        <v>0.3</v>
      </c>
      <c r="I14" s="149" t="n">
        <v>0.2999207606973059</v>
      </c>
      <c r="J14" s="149" t="n">
        <v>0.2996794871794872</v>
      </c>
      <c r="K14" s="149" t="n">
        <v>0.2996794871794872</v>
      </c>
      <c r="L14" s="149" t="n">
        <v>0.2996794871794872</v>
      </c>
      <c r="M14" s="149" t="n">
        <v>0.3006230529595015</v>
      </c>
      <c r="N14" s="149" t="n">
        <v>0.3003246753246753</v>
      </c>
      <c r="O14" s="149" t="n">
        <v>0.3004769475357711</v>
      </c>
      <c r="P14" s="149" t="n">
        <v>0.3000798084596967</v>
      </c>
      <c r="Q14" s="152" t="n">
        <v>-0.0003205128205128194</v>
      </c>
      <c r="R14" s="152" t="n">
        <v>-5.055407263643286e-06</v>
      </c>
      <c r="S14" s="152" t="n">
        <v>-0.0001597411163327678</v>
      </c>
      <c r="T14" s="152" t="n">
        <v>0.001240336910118822</v>
      </c>
      <c r="U14" s="152" t="n">
        <v>-0.000308236067729728</v>
      </c>
      <c r="V14" s="153" t="n"/>
      <c r="W14" s="153" t="n"/>
    </row>
    <row r="15" ht="18" customHeight="1">
      <c r="A15" s="145" t="inlineStr">
        <is>
          <t>EBITDAaL €  (Adjusted, after lease costs)</t>
        </is>
      </c>
    </row>
    <row r="16" ht="16" customHeight="1">
      <c r="A16" s="146" t="inlineStr">
        <is>
          <t>EBITDAaL €</t>
        </is>
      </c>
      <c r="B16" s="146" t="inlineStr">
        <is>
          <t>Total ✓</t>
        </is>
      </c>
      <c r="C16" s="189" t="n">
        <v>115000000</v>
      </c>
      <c r="D16" s="189" t="n">
        <v>125000000</v>
      </c>
      <c r="E16" s="189" t="n">
        <v>240000000</v>
      </c>
      <c r="F16" s="189" t="n">
        <v>127000000</v>
      </c>
      <c r="G16" s="189" t="n">
        <v>122000000</v>
      </c>
      <c r="H16" s="189" t="n">
        <v>249000000</v>
      </c>
      <c r="I16" s="189" t="n">
        <v>489000000</v>
      </c>
      <c r="J16" s="189" t="n">
        <v>120000000</v>
      </c>
      <c r="K16" s="189" t="n">
        <v>134000000</v>
      </c>
      <c r="L16" s="189" t="n">
        <v>254000000</v>
      </c>
      <c r="M16" s="189" t="n">
        <v>138000000</v>
      </c>
      <c r="N16" s="147" t="n">
        <v>132000000</v>
      </c>
      <c r="O16" s="189" t="n">
        <v>270000000</v>
      </c>
      <c r="P16" s="189" t="n">
        <v>524000000</v>
      </c>
      <c r="Q16" s="190" t="n">
        <v>0.04347826086956522</v>
      </c>
      <c r="R16" s="190" t="n">
        <v>0.07199999999999999</v>
      </c>
      <c r="S16" s="190" t="n">
        <v>0.05833333333333333</v>
      </c>
      <c r="T16" s="190" t="n">
        <v>0.08661417322834646</v>
      </c>
      <c r="U16" s="190" t="n">
        <v>0.08196721311475409</v>
      </c>
      <c r="V16" s="190" t="n">
        <v>0.08433734939759036</v>
      </c>
      <c r="W16" s="190" t="n">
        <v>0.07157464212678936</v>
      </c>
    </row>
    <row r="17" ht="16" customHeight="1">
      <c r="A17" s="146" t="inlineStr">
        <is>
          <t>EBITDAaL %</t>
        </is>
      </c>
      <c r="B17" s="146" t="inlineStr">
        <is>
          <t>on Srv Rev ✓</t>
        </is>
      </c>
      <c r="C17" s="190" t="n">
        <v>0.3833333333333334</v>
      </c>
      <c r="D17" s="190" t="n">
        <v>0.4006410256410257</v>
      </c>
      <c r="E17" s="190" t="n">
        <v>0.392156862745098</v>
      </c>
      <c r="F17" s="190" t="n">
        <v>0.3981191222570533</v>
      </c>
      <c r="G17" s="190" t="n">
        <v>0.3922829581993569</v>
      </c>
      <c r="H17" s="190" t="n">
        <v>0.3952380952380952</v>
      </c>
      <c r="I17" s="190" t="n">
        <v>0.3937198067632851</v>
      </c>
      <c r="J17" s="190" t="n">
        <v>0.3908794788273616</v>
      </c>
      <c r="K17" s="190" t="n">
        <v>0.4364820846905538</v>
      </c>
      <c r="L17" s="190" t="n">
        <v>0.4136807817589577</v>
      </c>
      <c r="M17" s="190" t="n">
        <v>0.4367088607594937</v>
      </c>
      <c r="N17" s="149" t="n">
        <v>0.4356435643564356</v>
      </c>
      <c r="O17" s="190" t="n">
        <v>0.4361873990306946</v>
      </c>
      <c r="P17" s="190" t="n">
        <v>0.4249797242497972</v>
      </c>
      <c r="Q17" s="191" t="n">
        <v>0.007546145494028211</v>
      </c>
      <c r="R17" s="191" t="n">
        <v>0.03584105904952811</v>
      </c>
      <c r="S17" s="191" t="n">
        <v>0.02152391901385964</v>
      </c>
      <c r="T17" s="191" t="n">
        <v>0.03858973850244035</v>
      </c>
      <c r="U17" s="191" t="n">
        <v>0.04336060615707871</v>
      </c>
      <c r="V17" s="153" t="n"/>
      <c r="W17" s="153" t="n"/>
    </row>
    <row r="18" ht="16" customHeight="1">
      <c r="A18" s="151" t="inlineStr"/>
      <c r="B18" s="146" t="inlineStr">
        <is>
          <t>on Tot Rev ✓</t>
        </is>
      </c>
      <c r="C18" s="190" t="n">
        <v>0.344311377245509</v>
      </c>
      <c r="D18" s="190" t="n">
        <v>0.3644314868804664</v>
      </c>
      <c r="E18" s="190" t="n">
        <v>0.3545051698670605</v>
      </c>
      <c r="F18" s="190" t="n">
        <v>0.3618233618233618</v>
      </c>
      <c r="G18" s="190" t="n">
        <v>0.3515850144092219</v>
      </c>
      <c r="H18" s="190" t="n">
        <v>0.3567335243553009</v>
      </c>
      <c r="I18" s="190" t="n">
        <v>0.3556363636363636</v>
      </c>
      <c r="J18" s="190" t="n">
        <v>0.3498542274052478</v>
      </c>
      <c r="K18" s="190" t="n">
        <v>0.3964497041420119</v>
      </c>
      <c r="L18" s="190" t="n">
        <v>0.3729809104258444</v>
      </c>
      <c r="M18" s="190" t="n">
        <v>0.396551724137931</v>
      </c>
      <c r="N18" s="149" t="n">
        <v>0.3952095808383234</v>
      </c>
      <c r="O18" s="190" t="n">
        <v>0.3958944281524927</v>
      </c>
      <c r="P18" s="190" t="n">
        <v>0.384446074834923</v>
      </c>
      <c r="Q18" s="191" t="n">
        <v>0.005542850159738821</v>
      </c>
      <c r="R18" s="191" t="n">
        <v>0.03201821726154541</v>
      </c>
      <c r="S18" s="191" t="n">
        <v>0.01847574055878382</v>
      </c>
      <c r="T18" s="191" t="n">
        <v>0.03472836231456922</v>
      </c>
      <c r="U18" s="191" t="n">
        <v>0.04362456642910145</v>
      </c>
      <c r="V18" s="153" t="n"/>
      <c r="W18" s="153" t="n"/>
    </row>
    <row r="19" ht="18" customHeight="1">
      <c r="A19" s="145" t="inlineStr">
        <is>
          <t>CAPEX (Capital Additions)</t>
        </is>
      </c>
    </row>
    <row r="20" ht="16" customHeight="1">
      <c r="A20" s="146" t="inlineStr">
        <is>
          <t>CAPEX</t>
        </is>
      </c>
      <c r="B20" s="146" t="inlineStr">
        <is>
          <t>Total ✓</t>
        </is>
      </c>
      <c r="C20" s="189" t="n">
        <v>72000000</v>
      </c>
      <c r="D20" s="189" t="n">
        <v>50000000</v>
      </c>
      <c r="E20" s="189" t="n">
        <v>122000000</v>
      </c>
      <c r="F20" s="189" t="n">
        <v>52000000</v>
      </c>
      <c r="G20" s="189" t="n">
        <v>76000000</v>
      </c>
      <c r="H20" s="189" t="n">
        <v>128000000</v>
      </c>
      <c r="I20" s="189" t="n">
        <v>250000000</v>
      </c>
      <c r="J20" s="189" t="n">
        <v>74000000</v>
      </c>
      <c r="K20" s="189" t="n">
        <v>45000000</v>
      </c>
      <c r="L20" s="189" t="n">
        <v>119000000</v>
      </c>
      <c r="M20" s="189" t="n">
        <v>46000000</v>
      </c>
      <c r="N20" s="147" t="n">
        <v>60000000</v>
      </c>
      <c r="O20" s="189" t="n">
        <v>106000000</v>
      </c>
      <c r="P20" s="189" t="n">
        <v>225000000</v>
      </c>
      <c r="Q20" s="190" t="n">
        <v>0.02777777777777778</v>
      </c>
      <c r="R20" s="190" t="n">
        <v>-0.1</v>
      </c>
      <c r="S20" s="190" t="n">
        <v>-0.02459016393442623</v>
      </c>
      <c r="T20" s="190" t="n">
        <v>-0.1153846153846154</v>
      </c>
      <c r="U20" s="190" t="n">
        <v>-0.2105263157894737</v>
      </c>
      <c r="V20" s="190" t="n">
        <v>-0.171875</v>
      </c>
      <c r="W20" s="190" t="n">
        <v>-0.1</v>
      </c>
    </row>
    <row r="21" ht="16" customHeight="1">
      <c r="A21" s="146" t="inlineStr">
        <is>
          <t>CAPEX/Rev</t>
        </is>
      </c>
      <c r="B21" s="146" t="inlineStr">
        <is>
          <t>on Tot Rev ✓</t>
        </is>
      </c>
      <c r="C21" s="190" t="n">
        <v>0.2155688622754491</v>
      </c>
      <c r="D21" s="190" t="n">
        <v>0.1457725947521866</v>
      </c>
      <c r="E21" s="190" t="n">
        <v>0.1802067946824225</v>
      </c>
      <c r="F21" s="190" t="n">
        <v>0.1481481481481481</v>
      </c>
      <c r="G21" s="190" t="n">
        <v>0.2190201729106628</v>
      </c>
      <c r="H21" s="190" t="n">
        <v>0.1833810888252149</v>
      </c>
      <c r="I21" s="190" t="n">
        <v>0.1818181818181818</v>
      </c>
      <c r="J21" s="190" t="n">
        <v>0.2157434402332362</v>
      </c>
      <c r="K21" s="190" t="n">
        <v>0.1331360946745562</v>
      </c>
      <c r="L21" s="190" t="n">
        <v>0.1747430249632893</v>
      </c>
      <c r="M21" s="190" t="n">
        <v>0.132183908045977</v>
      </c>
      <c r="N21" s="149" t="n">
        <v>0.1796407185628743</v>
      </c>
      <c r="O21" s="190" t="n">
        <v>0.155425219941349</v>
      </c>
      <c r="P21" s="190" t="n">
        <v>0.1650770359501101</v>
      </c>
      <c r="Q21" s="191" t="n">
        <v>0.0001745779577870532</v>
      </c>
      <c r="R21" s="191" t="n">
        <v>-0.01263650007763037</v>
      </c>
      <c r="S21" s="191" t="n">
        <v>-0.005463769719133177</v>
      </c>
      <c r="T21" s="191" t="n">
        <v>-0.01596424010217112</v>
      </c>
      <c r="U21" s="191" t="n">
        <v>-0.03937945434778858</v>
      </c>
      <c r="V21" s="153" t="n"/>
      <c r="W21" s="153" t="n"/>
    </row>
    <row r="22" ht="18" customHeight="1">
      <c r="A22" s="192" t="inlineStr">
        <is>
          <t>Operational KPI's</t>
        </is>
      </c>
    </row>
    <row r="23" ht="14" customHeight="1">
      <c r="A23" s="146" t="inlineStr">
        <is>
          <t>Mobile</t>
        </is>
      </c>
    </row>
    <row r="24" ht="16" customHeight="1">
      <c r="A24" s="146" t="inlineStr">
        <is>
          <t>Mobile customers</t>
        </is>
      </c>
      <c r="B24" s="146" t="inlineStr">
        <is>
          <t>Closing ('000) ✅</t>
        </is>
      </c>
      <c r="C24" s="185" t="n">
        <v>4727</v>
      </c>
      <c r="D24" s="185" t="n">
        <v>4748</v>
      </c>
      <c r="E24" s="185" t="n">
        <v>4748</v>
      </c>
      <c r="F24" s="185" t="n">
        <v>4838</v>
      </c>
      <c r="G24" s="185" t="n">
        <v>4796</v>
      </c>
      <c r="H24" s="185" t="n">
        <v>4796</v>
      </c>
      <c r="I24" s="185" t="n">
        <v>4796</v>
      </c>
      <c r="J24" s="185" t="n">
        <v>4682</v>
      </c>
      <c r="K24" s="185" t="n">
        <v>4629</v>
      </c>
      <c r="L24" s="185" t="n">
        <v>4629</v>
      </c>
      <c r="M24" s="185" t="n">
        <v>4666</v>
      </c>
      <c r="N24" s="185" t="n">
        <v>4621</v>
      </c>
      <c r="O24" s="185" t="n">
        <v>4621</v>
      </c>
      <c r="P24" s="185" t="n">
        <v>4621</v>
      </c>
      <c r="Q24" s="186" t="n">
        <v>-0.009519779987306959</v>
      </c>
      <c r="R24" s="186" t="n">
        <v>-0.02506318449873631</v>
      </c>
      <c r="S24" s="186" t="n">
        <v>-0.02506318449873631</v>
      </c>
      <c r="T24" s="186" t="n">
        <v>-0.03555188094253824</v>
      </c>
      <c r="U24" s="186" t="n">
        <v>-0.03648874061718099</v>
      </c>
      <c r="V24" s="186" t="n">
        <v>-0.03648874061718099</v>
      </c>
      <c r="W24" s="186" t="n">
        <v>-0.03648874061718099</v>
      </c>
    </row>
    <row r="25" ht="16" customHeight="1">
      <c r="A25" s="151" t="inlineStr"/>
      <c r="B25" s="146" t="inlineStr">
        <is>
          <t>Contract % ✅</t>
        </is>
      </c>
      <c r="C25" s="186" t="n">
        <v>0.5659999999999999</v>
      </c>
      <c r="D25" s="186" t="n">
        <v>0.5679999999999999</v>
      </c>
      <c r="E25" s="186" t="n">
        <v>0.5679999999999999</v>
      </c>
      <c r="F25" s="186" t="n">
        <v>0.5669999999999999</v>
      </c>
      <c r="G25" s="186" t="n">
        <v>0.583</v>
      </c>
      <c r="H25" s="186" t="n">
        <v>0.583</v>
      </c>
      <c r="I25" s="186" t="n">
        <v>0.583</v>
      </c>
      <c r="J25" s="186" t="n">
        <v>0.607</v>
      </c>
      <c r="K25" s="186" t="n">
        <v>0.621</v>
      </c>
      <c r="L25" s="186" t="n">
        <v>0.621</v>
      </c>
      <c r="M25" s="186" t="n">
        <v>0.626</v>
      </c>
      <c r="N25" s="186" t="n">
        <v>0.643</v>
      </c>
      <c r="O25" s="186" t="n">
        <v>0.643</v>
      </c>
      <c r="P25" s="186" t="n">
        <v>0.643</v>
      </c>
      <c r="Q25" s="187" t="n">
        <v>0.07243816254416968</v>
      </c>
      <c r="R25" s="187" t="n">
        <v>0.09330985915492968</v>
      </c>
      <c r="S25" s="187" t="n">
        <v>0.09330985915492968</v>
      </c>
      <c r="T25" s="187" t="n">
        <v>0.1040564373897708</v>
      </c>
      <c r="U25" s="187" t="n">
        <v>0.1029159519725558</v>
      </c>
      <c r="V25" s="187" t="n">
        <v>0.1029159519725558</v>
      </c>
      <c r="W25" s="187" t="n">
        <v>0.1029159519725558</v>
      </c>
    </row>
    <row r="26" ht="16" customHeight="1">
      <c r="A26" s="146" t="inlineStr">
        <is>
          <t>Mobile ARPU</t>
        </is>
      </c>
      <c r="B26" s="146" t="inlineStr">
        <is>
          <t>Total (€/mês) ✅</t>
        </is>
      </c>
      <c r="C26" s="193" t="n">
        <v>13.237</v>
      </c>
      <c r="D26" s="193" t="n">
        <v>13.6</v>
      </c>
      <c r="E26" s="193" t="n">
        <v>26.837</v>
      </c>
      <c r="F26" s="193" t="n">
        <v>13.533</v>
      </c>
      <c r="G26" s="193" t="n">
        <v>13.233</v>
      </c>
      <c r="H26" s="193" t="n">
        <v>26.766</v>
      </c>
      <c r="I26" s="193" t="n">
        <v>53.60299999999999</v>
      </c>
      <c r="J26" s="193" t="n">
        <v>13.336</v>
      </c>
      <c r="K26" s="193" t="n">
        <v>13.218</v>
      </c>
      <c r="L26" s="193" t="n">
        <v>26.554</v>
      </c>
      <c r="M26" s="193" t="n">
        <v>13.285</v>
      </c>
      <c r="N26" s="193" t="n">
        <v>12.867</v>
      </c>
      <c r="O26" s="193" t="n">
        <v>26.152</v>
      </c>
      <c r="P26" s="193" t="n">
        <v>52.706</v>
      </c>
      <c r="Q26" s="194" t="n">
        <v>0.007479036035355458</v>
      </c>
      <c r="R26" s="194" t="n">
        <v>-0.02808823529411762</v>
      </c>
      <c r="S26" s="194" t="n">
        <v>-0.0105451428997279</v>
      </c>
      <c r="T26" s="194" t="n">
        <v>-0.01832557452153989</v>
      </c>
      <c r="U26" s="194" t="n">
        <v>-0.02765812740875082</v>
      </c>
      <c r="V26" s="194" t="n">
        <v>-0.0229395501755958</v>
      </c>
      <c r="W26" s="194" t="n">
        <v>-0.0167341380146632</v>
      </c>
    </row>
    <row r="27" ht="16" customHeight="1">
      <c r="A27" s="151" t="inlineStr"/>
      <c r="B27" s="146" t="inlineStr">
        <is>
          <t>Contract (€/mês) ✅</t>
        </is>
      </c>
      <c r="C27" s="193" t="n">
        <v>18.636</v>
      </c>
      <c r="D27" s="193" t="n">
        <v>19</v>
      </c>
      <c r="E27" s="193" t="n">
        <v>37.636</v>
      </c>
      <c r="F27" s="193" t="n">
        <v>18.632</v>
      </c>
      <c r="G27" s="193" t="n">
        <v>18.551</v>
      </c>
      <c r="H27" s="193" t="n">
        <v>37.183</v>
      </c>
      <c r="I27" s="193" t="n">
        <v>74.81899999999999</v>
      </c>
      <c r="J27" s="193" t="n">
        <v>18.456</v>
      </c>
      <c r="K27" s="193" t="n">
        <v>17.741</v>
      </c>
      <c r="L27" s="193" t="n">
        <v>36.197</v>
      </c>
      <c r="M27" s="193" t="n">
        <v>17.573</v>
      </c>
      <c r="N27" s="193" t="n">
        <v>16.951</v>
      </c>
      <c r="O27" s="193" t="n">
        <v>34.524</v>
      </c>
      <c r="P27" s="193" t="n">
        <v>70.721</v>
      </c>
      <c r="Q27" s="194" t="n">
        <v>-0.00965872504829361</v>
      </c>
      <c r="R27" s="194" t="n">
        <v>-0.06626315789473686</v>
      </c>
      <c r="S27" s="194" t="n">
        <v>-0.03823466893399918</v>
      </c>
      <c r="T27" s="194" t="n">
        <v>-0.05683769858308292</v>
      </c>
      <c r="U27" s="194" t="n">
        <v>-0.08624871974556617</v>
      </c>
      <c r="V27" s="194" t="n">
        <v>-0.0715111744614474</v>
      </c>
      <c r="W27" s="194" t="n">
        <v>-0.05477218353626733</v>
      </c>
    </row>
    <row r="28" ht="16" customHeight="1">
      <c r="A28" s="151" t="inlineStr"/>
      <c r="B28" s="146" t="inlineStr">
        <is>
          <t>Prepaid (€/mês) ✅</t>
        </is>
      </c>
      <c r="C28" s="193" t="n">
        <v>6.482</v>
      </c>
      <c r="D28" s="193" t="n">
        <v>6.4</v>
      </c>
      <c r="E28" s="193" t="n">
        <v>12.882</v>
      </c>
      <c r="F28" s="193" t="n">
        <v>6.888</v>
      </c>
      <c r="G28" s="193" t="n">
        <v>6.056</v>
      </c>
      <c r="H28" s="193" t="n">
        <v>12.944</v>
      </c>
      <c r="I28" s="193" t="n">
        <v>25.826</v>
      </c>
      <c r="J28" s="193" t="n">
        <v>5.804</v>
      </c>
      <c r="K28" s="193" t="n">
        <v>6.011</v>
      </c>
      <c r="L28" s="193" t="n">
        <v>11.815</v>
      </c>
      <c r="M28" s="193" t="n">
        <v>6.184</v>
      </c>
      <c r="N28" s="193" t="n">
        <v>5.78</v>
      </c>
      <c r="O28" s="193" t="n">
        <v>11.964</v>
      </c>
      <c r="P28" s="193" t="n">
        <v>23.779</v>
      </c>
      <c r="Q28" s="194" t="n">
        <v>-0.1045973464979944</v>
      </c>
      <c r="R28" s="194" t="n">
        <v>-0.06078125000000004</v>
      </c>
      <c r="S28" s="194" t="n">
        <v>-0.08282875329917715</v>
      </c>
      <c r="T28" s="194" t="n">
        <v>-0.1022067363530778</v>
      </c>
      <c r="U28" s="194" t="n">
        <v>-0.04557463672391014</v>
      </c>
      <c r="V28" s="194" t="n">
        <v>-0.07571075401730522</v>
      </c>
      <c r="W28" s="194" t="n">
        <v>-0.07926120963370235</v>
      </c>
    </row>
    <row r="29" ht="16" customHeight="1">
      <c r="A29" s="195" t="inlineStr">
        <is>
          <t>Quota Mercado</t>
        </is>
      </c>
      <c r="B29" s="195" t="inlineStr">
        <is>
          <t>Receitas retalhistas (ANACOM) 🟡</t>
        </is>
      </c>
      <c r="C29" s="196" t="n">
        <v>0.287</v>
      </c>
      <c r="D29" s="196" t="n">
        <v>0.289</v>
      </c>
      <c r="E29" s="196" t="n">
        <v>0.289</v>
      </c>
      <c r="F29" s="196" t="n">
        <v>0.289</v>
      </c>
      <c r="G29" s="196" t="n">
        <v>0.288</v>
      </c>
      <c r="H29" s="196" t="n">
        <v>0.288</v>
      </c>
      <c r="I29" s="196" t="n">
        <v>0.288</v>
      </c>
      <c r="J29" s="196" t="n">
        <v>0.285</v>
      </c>
      <c r="K29" s="196" t="n">
        <v>0.284</v>
      </c>
      <c r="L29" s="196" t="n">
        <v>0.284</v>
      </c>
      <c r="M29" s="196" t="n">
        <v>0.285</v>
      </c>
      <c r="N29" s="197" t="n"/>
      <c r="O29" s="197" t="n"/>
      <c r="P29" s="197" t="n"/>
      <c r="Q29" s="198" t="n">
        <v>-0.002000000000000002</v>
      </c>
      <c r="R29" s="198" t="n">
        <v>-0.005000000000000004</v>
      </c>
      <c r="S29" s="198" t="n">
        <v>-0.005000000000000004</v>
      </c>
      <c r="T29" s="198" t="n">
        <v>-0.004000000000000004</v>
      </c>
      <c r="U29" s="199" t="n"/>
      <c r="V29" s="199" t="n"/>
      <c r="W29" s="199" t="n"/>
    </row>
    <row r="30" ht="16" customHeight="1">
      <c r="A30" s="195" t="inlineStr">
        <is>
          <t>Mobile data usage</t>
        </is>
      </c>
      <c r="B30" s="195" t="inlineStr">
        <is>
          <t>Total PT (TB) ✅</t>
        </is>
      </c>
      <c r="C30" s="200" t="n">
        <v>133936</v>
      </c>
      <c r="D30" s="200" t="n">
        <v>143411</v>
      </c>
      <c r="E30" s="200" t="n">
        <v>277347</v>
      </c>
      <c r="F30" s="200" t="n">
        <v>156873</v>
      </c>
      <c r="G30" s="200" t="n">
        <v>157187</v>
      </c>
      <c r="H30" s="200" t="n">
        <v>314060</v>
      </c>
      <c r="I30" s="200" t="n">
        <v>591407</v>
      </c>
      <c r="J30" s="200" t="n">
        <v>173342</v>
      </c>
      <c r="K30" s="200" t="n">
        <v>194602</v>
      </c>
      <c r="L30" s="200" t="n">
        <v>367944</v>
      </c>
      <c r="M30" s="200" t="n">
        <v>206522</v>
      </c>
      <c r="N30" s="200" t="n">
        <v>211571</v>
      </c>
      <c r="O30" s="200" t="n">
        <v>418093</v>
      </c>
      <c r="P30" s="200" t="n">
        <v>786037</v>
      </c>
      <c r="Q30" s="201" t="n">
        <v>0.2942151475331501</v>
      </c>
      <c r="R30" s="201" t="n">
        <v>0.3569530928589857</v>
      </c>
      <c r="S30" s="201" t="n">
        <v>0.3266557777801815</v>
      </c>
      <c r="T30" s="201" t="n">
        <v>0.3164916843561352</v>
      </c>
      <c r="U30" s="201" t="n">
        <v>0.3459828102832931</v>
      </c>
      <c r="V30" s="201" t="n">
        <v>0.3312519900655926</v>
      </c>
      <c r="W30" s="201" t="n">
        <v>0.3290965443425594</v>
      </c>
    </row>
    <row r="31" ht="20" customHeight="1">
      <c r="A31" s="154" t="inlineStr">
        <is>
          <t>✅ Operacionais confirmados Vodafone Group Q3 FY26  |  ✓ Financeiros derivados de semestrais  |  🟡 ANACOM Q3 2025 — Factos e Números  |  Legenda: Verde=confirmado, Azul=derivado confirmado, Laranja=estimativa, Amarelo=ANACOM mercado</t>
        </is>
      </c>
    </row>
    <row r="32" ht="16" customHeight="1">
      <c r="A32" s="146" t="inlineStr">
        <is>
          <t>Converged customers</t>
        </is>
      </c>
      <c r="B32" s="146" t="inlineStr">
        <is>
          <t>Closing ('000) ✅</t>
        </is>
      </c>
      <c r="C32" s="185" t="n">
        <v>372</v>
      </c>
      <c r="D32" s="185" t="n">
        <v>378</v>
      </c>
      <c r="E32" s="185" t="n">
        <v>378</v>
      </c>
      <c r="F32" s="185" t="n">
        <v>388</v>
      </c>
      <c r="G32" s="185" t="n">
        <v>404</v>
      </c>
      <c r="H32" s="185" t="n">
        <v>404</v>
      </c>
      <c r="I32" s="185" t="n">
        <v>404</v>
      </c>
      <c r="J32" s="185" t="n">
        <v>420</v>
      </c>
      <c r="K32" s="185" t="n">
        <v>435</v>
      </c>
      <c r="L32" s="185" t="n">
        <v>435</v>
      </c>
      <c r="M32" s="185" t="n">
        <v>452</v>
      </c>
      <c r="N32" s="185" t="n">
        <v>469</v>
      </c>
      <c r="O32" s="185" t="n">
        <v>469</v>
      </c>
      <c r="P32" s="185" t="n">
        <v>469</v>
      </c>
      <c r="Q32" s="186" t="n">
        <v>0.1290322580645161</v>
      </c>
      <c r="R32" s="186" t="n">
        <v>0.1507936507936508</v>
      </c>
      <c r="S32" s="186" t="n">
        <v>0.1507936507936508</v>
      </c>
      <c r="T32" s="186" t="n">
        <v>0.1649484536082474</v>
      </c>
      <c r="U32" s="186" t="n">
        <v>0.1608910891089109</v>
      </c>
      <c r="V32" s="186" t="n">
        <v>0.1608910891089109</v>
      </c>
      <c r="W32" s="186" t="n">
        <v>0.1608910891089109</v>
      </c>
    </row>
    <row r="33" ht="24" customHeight="1">
      <c r="A33" s="154" t="inlineStr">
        <is>
          <t>✅ Operacionais confirmados da Vodafone Group Q3 FY26 Additional Information  |  ✓ Financeiros derivados de dados semestrais confirmados (Segmental Analysis)</t>
        </is>
      </c>
    </row>
  </sheetData>
  <mergeCells count="11">
    <mergeCell ref="A5:W5"/>
    <mergeCell ref="A1:W1"/>
    <mergeCell ref="A23:W23"/>
    <mergeCell ref="A31:W31"/>
    <mergeCell ref="A22:W22"/>
    <mergeCell ref="A12:W12"/>
    <mergeCell ref="A3:W3"/>
    <mergeCell ref="A15:W15"/>
    <mergeCell ref="A2:W2"/>
    <mergeCell ref="A33:W33"/>
    <mergeCell ref="A19:W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Z37"/>
  <sheetViews>
    <sheetView tabSelected="1" workbookViewId="0">
      <pane xSplit="4" ySplit="3" topLeftCell="N5" activePane="bottomRight" state="frozen"/>
      <selection pane="topRight" activeCell="E1" sqref="E1"/>
      <selection pane="bottomLeft" activeCell="A4" sqref="A4"/>
      <selection pane="bottomRight" activeCell="G9" sqref="G9"/>
    </sheetView>
  </sheetViews>
  <sheetFormatPr baseColWidth="10" defaultRowHeight="16"/>
  <cols>
    <col width="10.83203125" customWidth="1" style="1" min="1" max="2"/>
    <col width="28.5" customWidth="1" style="1" min="3" max="3"/>
    <col width="16.1640625" customWidth="1" style="1" min="4" max="4"/>
    <col width="19.6640625" bestFit="1" customWidth="1" style="2" min="5" max="5"/>
    <col width="19.1640625" bestFit="1" customWidth="1" style="2" min="6" max="10"/>
    <col width="21" bestFit="1" customWidth="1" style="2" min="11" max="11"/>
    <col width="19.1640625" bestFit="1" customWidth="1" style="2" min="12" max="15"/>
    <col width="24.83203125" customWidth="1" style="2" min="16" max="16"/>
    <col width="19.1640625" bestFit="1" customWidth="1" style="2" min="17" max="17"/>
    <col width="21" bestFit="1" customWidth="1" style="2" min="18" max="18"/>
    <col width="10.83203125" customWidth="1" style="2" min="19" max="26"/>
    <col width="10.83203125" customWidth="1" style="1" min="27" max="16384"/>
  </cols>
  <sheetData>
    <row r="3" ht="45" customFormat="1" customHeight="1" s="3" thickBot="1">
      <c r="C3" s="106" t="inlineStr">
        <is>
          <t>Financial KPI's</t>
        </is>
      </c>
      <c r="E3" s="114" t="inlineStr">
        <is>
          <t>CYQ1'24</t>
        </is>
      </c>
      <c r="F3" s="114" t="inlineStr">
        <is>
          <t>CYQ2'24</t>
        </is>
      </c>
      <c r="G3" s="115" t="inlineStr">
        <is>
          <t>H1'24</t>
        </is>
      </c>
      <c r="H3" s="114" t="inlineStr">
        <is>
          <t>CYQ3'24</t>
        </is>
      </c>
      <c r="I3" s="114" t="inlineStr">
        <is>
          <t>CYQ4'24</t>
        </is>
      </c>
      <c r="J3" s="115" t="inlineStr">
        <is>
          <t>H2'24</t>
        </is>
      </c>
      <c r="K3" s="116" t="inlineStr">
        <is>
          <t>CY'24</t>
        </is>
      </c>
      <c r="L3" s="114" t="inlineStr">
        <is>
          <t>CYQ1'25</t>
        </is>
      </c>
      <c r="M3" s="114" t="inlineStr">
        <is>
          <t>CYQ2'25</t>
        </is>
      </c>
      <c r="N3" s="115" t="inlineStr">
        <is>
          <t>H1'25</t>
        </is>
      </c>
      <c r="O3" s="114" t="inlineStr">
        <is>
          <t>CYQ3'25</t>
        </is>
      </c>
      <c r="P3" s="114" t="inlineStr">
        <is>
          <t>CYQ4'25</t>
        </is>
      </c>
      <c r="Q3" s="115" t="inlineStr">
        <is>
          <t>H2'25</t>
        </is>
      </c>
      <c r="R3" s="116" t="inlineStr">
        <is>
          <t>CY'25</t>
        </is>
      </c>
      <c r="S3" s="117" t="n"/>
      <c r="T3" s="114" t="inlineStr">
        <is>
          <t>Y/Y Q1'25</t>
        </is>
      </c>
      <c r="U3" s="114" t="inlineStr">
        <is>
          <t>Y/Y Q2'25</t>
        </is>
      </c>
      <c r="V3" s="115" t="inlineStr">
        <is>
          <t>Y/Y H1</t>
        </is>
      </c>
      <c r="W3" s="114" t="inlineStr">
        <is>
          <t>Y/Y Q3'25</t>
        </is>
      </c>
      <c r="X3" s="114" t="inlineStr">
        <is>
          <t>Y/Y Q4'25</t>
        </is>
      </c>
      <c r="Y3" s="115" t="inlineStr">
        <is>
          <t>Y/Y H2</t>
        </is>
      </c>
      <c r="Z3" s="118" t="inlineStr">
        <is>
          <t>Y/Y '25</t>
        </is>
      </c>
    </row>
    <row r="4" ht="45" customFormat="1" customHeight="1" s="3">
      <c r="C4" s="110" t="inlineStr">
        <is>
          <t>Revenue €</t>
        </is>
      </c>
      <c r="D4" s="6" t="inlineStr">
        <is>
          <t>Total</t>
        </is>
      </c>
      <c r="E4" s="66">
        <f>E5+E6</f>
        <v/>
      </c>
      <c r="F4" s="66">
        <f>F5+F6</f>
        <v/>
      </c>
      <c r="G4" s="71">
        <f>E4+F4</f>
        <v/>
      </c>
      <c r="H4" s="66">
        <f>H5+H6</f>
        <v/>
      </c>
      <c r="I4" s="66">
        <f>K4-(H4+F4+E4)</f>
        <v/>
      </c>
      <c r="J4" s="71">
        <f>H4+I4</f>
        <v/>
      </c>
      <c r="K4" s="136">
        <f>K5+K6</f>
        <v/>
      </c>
      <c r="L4" s="66">
        <f>L5+L6</f>
        <v/>
      </c>
      <c r="M4" s="66">
        <f>M5+M6</f>
        <v/>
      </c>
      <c r="N4" s="71">
        <f>L4+M4</f>
        <v/>
      </c>
      <c r="O4" s="66">
        <f>O6+O5</f>
        <v/>
      </c>
      <c r="P4" s="38" t="n"/>
      <c r="Q4" s="71">
        <f>O4+P4</f>
        <v/>
      </c>
      <c r="R4" s="76">
        <f>N4+Q4</f>
        <v/>
      </c>
      <c r="S4" s="29" t="n"/>
      <c r="T4" s="39">
        <f>L4/E4-1</f>
        <v/>
      </c>
      <c r="U4" s="57">
        <f>M4/F4-1</f>
        <v/>
      </c>
      <c r="V4" s="139">
        <f>N4/G4-1</f>
        <v/>
      </c>
      <c r="W4" s="57">
        <f>O4/H4-1</f>
        <v/>
      </c>
      <c r="X4" s="39" t="n"/>
      <c r="Y4" s="40" t="n"/>
      <c r="Z4" s="15" t="n"/>
    </row>
    <row r="5" ht="45" customFormat="1" customHeight="1" s="3">
      <c r="D5" s="52" t="inlineStr">
        <is>
          <t>Eliminações</t>
        </is>
      </c>
      <c r="E5" s="65" t="n">
        <v>-8300000</v>
      </c>
      <c r="F5" s="65" t="n">
        <v>-4300000</v>
      </c>
      <c r="G5" s="72">
        <f>G4-(G6)</f>
        <v/>
      </c>
      <c r="H5" s="65" t="n">
        <v>-6800000</v>
      </c>
      <c r="I5" s="65">
        <f>K5-(H5+F5+E5)</f>
        <v/>
      </c>
      <c r="J5" s="72">
        <f>H5+I5</f>
        <v/>
      </c>
      <c r="K5" s="81" t="n">
        <v>-23000000</v>
      </c>
      <c r="L5" s="65" t="n">
        <v>-2500000</v>
      </c>
      <c r="M5" s="65" t="n">
        <v>-9400000</v>
      </c>
      <c r="N5" s="72">
        <f>N4-(N6)</f>
        <v/>
      </c>
      <c r="O5" s="65" t="n">
        <v>-6700000</v>
      </c>
      <c r="P5" s="65">
        <f>P4-(P6)</f>
        <v/>
      </c>
      <c r="Q5" s="72">
        <f>Q4-(Q6)</f>
        <v/>
      </c>
      <c r="R5" s="81">
        <f>R4-(R6)</f>
        <v/>
      </c>
      <c r="S5" s="53" t="n"/>
      <c r="T5" s="53" t="n"/>
      <c r="U5" s="53" t="n"/>
      <c r="V5" s="54" t="n"/>
      <c r="W5" s="53" t="n"/>
      <c r="X5" s="53" t="n"/>
      <c r="Y5" s="54" t="n"/>
      <c r="Z5" s="15" t="n"/>
    </row>
    <row r="6" ht="45" customFormat="1" customHeight="1" s="3">
      <c r="D6" s="32" t="inlineStr">
        <is>
          <t>Telco</t>
        </is>
      </c>
      <c r="E6" s="67">
        <f>E7+E8</f>
        <v/>
      </c>
      <c r="F6" s="67">
        <f>F7+F8</f>
        <v/>
      </c>
      <c r="G6" s="73">
        <f>E6+F6</f>
        <v/>
      </c>
      <c r="H6" s="67">
        <f>H7+H8</f>
        <v/>
      </c>
      <c r="I6" s="67">
        <f>K6-(H6+F6+E6)</f>
        <v/>
      </c>
      <c r="J6" s="73">
        <f>H6+I6</f>
        <v/>
      </c>
      <c r="K6" s="82">
        <f>K7+K8</f>
        <v/>
      </c>
      <c r="L6" s="67">
        <f>L7+L8</f>
        <v/>
      </c>
      <c r="M6" s="67">
        <f>M7+M8</f>
        <v/>
      </c>
      <c r="N6" s="73">
        <f>L6+M6</f>
        <v/>
      </c>
      <c r="O6" s="67">
        <f>O7+O8</f>
        <v/>
      </c>
      <c r="P6" s="7">
        <f>P7+P8</f>
        <v/>
      </c>
      <c r="Q6" s="73">
        <f>O6+P6</f>
        <v/>
      </c>
      <c r="R6" s="82">
        <f>N6+Q6</f>
        <v/>
      </c>
      <c r="S6" s="4" t="n"/>
      <c r="T6" s="58">
        <f>L6/E6-1</f>
        <v/>
      </c>
      <c r="U6" s="58">
        <f>M6/F6-1</f>
        <v/>
      </c>
      <c r="V6" s="138">
        <f>N6/G6-1</f>
        <v/>
      </c>
      <c r="W6" s="58">
        <f>O6/H6-1</f>
        <v/>
      </c>
      <c r="X6" s="46" t="n"/>
      <c r="Y6" s="47" t="n"/>
      <c r="Z6" s="15" t="n"/>
    </row>
    <row r="7" ht="45" customFormat="1" customHeight="1" s="3">
      <c r="D7" s="60" t="inlineStr">
        <is>
          <t>B2C</t>
        </is>
      </c>
      <c r="E7" s="68" t="n">
        <v>344800000</v>
      </c>
      <c r="F7" s="70" t="n">
        <v>348500000</v>
      </c>
      <c r="G7" s="74">
        <f>E7+F7</f>
        <v/>
      </c>
      <c r="H7" s="70" t="n">
        <v>361500000</v>
      </c>
      <c r="I7" s="70">
        <f>K7-(H7+F7+E7)</f>
        <v/>
      </c>
      <c r="J7" s="74">
        <f>H7+I7</f>
        <v/>
      </c>
      <c r="K7" s="83" t="n">
        <v>1436200000</v>
      </c>
      <c r="L7" s="70" t="n">
        <v>373800000</v>
      </c>
      <c r="M7" s="70" t="n">
        <v>365000000</v>
      </c>
      <c r="N7" s="74">
        <f>L7+M7</f>
        <v/>
      </c>
      <c r="O7" s="70" t="n">
        <v>370800000</v>
      </c>
      <c r="P7" s="41" t="n"/>
      <c r="Q7" s="74">
        <f>O7+P7</f>
        <v/>
      </c>
      <c r="R7" s="83">
        <f>N7+Q7</f>
        <v/>
      </c>
      <c r="S7" s="42" t="n"/>
      <c r="T7" s="46">
        <f>L7/E7-1</f>
        <v/>
      </c>
      <c r="U7" s="46">
        <f>M7/F7-1</f>
        <v/>
      </c>
      <c r="V7" s="47">
        <f>N7/G7-1</f>
        <v/>
      </c>
      <c r="W7" s="46">
        <f>O7/H7-1</f>
        <v/>
      </c>
      <c r="X7" s="43" t="n"/>
      <c r="Y7" s="44" t="n"/>
      <c r="Z7" s="15" t="n"/>
    </row>
    <row r="8" ht="45" customFormat="1" customHeight="1" s="3" thickBot="1">
      <c r="D8" s="119" t="inlineStr">
        <is>
          <t>B2B</t>
        </is>
      </c>
      <c r="E8" s="120" t="n">
        <v>358900000</v>
      </c>
      <c r="F8" s="121" t="n">
        <v>356800000</v>
      </c>
      <c r="G8" s="122">
        <f>E8+F8</f>
        <v/>
      </c>
      <c r="H8" s="121" t="n">
        <v>387000000</v>
      </c>
      <c r="I8" s="121">
        <f>K8-(H8+F8+E8)</f>
        <v/>
      </c>
      <c r="J8" s="122">
        <f>H8+I8</f>
        <v/>
      </c>
      <c r="K8" s="124" t="n">
        <v>1475000000</v>
      </c>
      <c r="L8" s="121" t="n">
        <v>323200000</v>
      </c>
      <c r="M8" s="121" t="n">
        <v>329700000</v>
      </c>
      <c r="N8" s="122">
        <f>L8+M8</f>
        <v/>
      </c>
      <c r="O8" s="121" t="n">
        <v>311300000</v>
      </c>
      <c r="P8" s="123" t="n"/>
      <c r="Q8" s="122">
        <f>O8+P8</f>
        <v/>
      </c>
      <c r="R8" s="124">
        <f>N8+Q8</f>
        <v/>
      </c>
      <c r="S8" s="125" t="n"/>
      <c r="T8" s="59">
        <f>L8/E8-1</f>
        <v/>
      </c>
      <c r="U8" s="59">
        <f>M8/F8-1</f>
        <v/>
      </c>
      <c r="V8" s="137">
        <f>N8/G8-1</f>
        <v/>
      </c>
      <c r="W8" s="59">
        <f>O8/H8-1</f>
        <v/>
      </c>
      <c r="X8" s="126" t="n"/>
      <c r="Y8" s="127" t="n"/>
      <c r="Z8" s="16" t="n"/>
    </row>
    <row r="9" ht="45" customFormat="1" customHeight="1" s="3" thickTop="1"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45" customFormat="1" customHeight="1" s="3">
      <c r="C10" s="110" t="inlineStr">
        <is>
          <t>Revenue weight (%)</t>
        </is>
      </c>
      <c r="D10" s="32" t="inlineStr">
        <is>
          <t>Telco</t>
        </is>
      </c>
      <c r="E10" s="8">
        <f>E6/(E$4-E$5)</f>
        <v/>
      </c>
      <c r="F10" s="8">
        <f>F6/(F$4-F$5)</f>
        <v/>
      </c>
      <c r="G10" s="17">
        <f>G6/(G$4-G$5)</f>
        <v/>
      </c>
      <c r="H10" s="8">
        <f>H6/(H$4-H$5)</f>
        <v/>
      </c>
      <c r="I10" s="8">
        <f>I6/(I$4-I$5)</f>
        <v/>
      </c>
      <c r="J10" s="17">
        <f>J6/(J$4-J$5)</f>
        <v/>
      </c>
      <c r="K10" s="64">
        <f>K6/(K$4-K$5)</f>
        <v/>
      </c>
      <c r="L10" s="8">
        <f>L6/(L$4-L$5)</f>
        <v/>
      </c>
      <c r="M10" s="8">
        <f>M6/(M$4-M$5)</f>
        <v/>
      </c>
      <c r="N10" s="17">
        <f>N6/(N$4-N$5)</f>
        <v/>
      </c>
      <c r="O10" s="8">
        <f>O6/(O$4-O$5)</f>
        <v/>
      </c>
      <c r="P10" s="8" t="n"/>
      <c r="Q10" s="17">
        <f>Q6/(Q$4-Q$5)</f>
        <v/>
      </c>
      <c r="R10" s="64">
        <f>R6/(R$4-R$5)</f>
        <v/>
      </c>
      <c r="S10" s="8" t="n"/>
      <c r="T10" s="1" t="n"/>
      <c r="U10" s="1" t="n"/>
      <c r="V10" s="1" t="n"/>
      <c r="W10" s="1" t="n"/>
      <c r="X10" s="1" t="n"/>
      <c r="Y10" s="1" t="n"/>
      <c r="Z10" s="1" t="n"/>
    </row>
    <row r="11" ht="45" customFormat="1" customHeight="1" s="3">
      <c r="D11" s="60" t="inlineStr">
        <is>
          <t>B2C</t>
        </is>
      </c>
      <c r="E11" s="61">
        <f>E7/E6</f>
        <v/>
      </c>
      <c r="F11" s="61">
        <f>F7/F6</f>
        <v/>
      </c>
      <c r="G11" s="62">
        <f>G7/G6</f>
        <v/>
      </c>
      <c r="H11" s="61">
        <f>H7/H6</f>
        <v/>
      </c>
      <c r="I11" s="61">
        <f>I7/I6</f>
        <v/>
      </c>
      <c r="J11" s="62">
        <f>J7/J6</f>
        <v/>
      </c>
      <c r="K11" s="63">
        <f>K7/K6</f>
        <v/>
      </c>
      <c r="L11" s="61">
        <f>L7/L6</f>
        <v/>
      </c>
      <c r="M11" s="61">
        <f>M7/M6</f>
        <v/>
      </c>
      <c r="N11" s="62">
        <f>N7/N6</f>
        <v/>
      </c>
      <c r="O11" s="61">
        <f>O7/O6</f>
        <v/>
      </c>
      <c r="P11" s="61" t="n"/>
      <c r="Q11" s="62">
        <f>Q7/Q6</f>
        <v/>
      </c>
      <c r="R11" s="63">
        <f>R7/R6</f>
        <v/>
      </c>
      <c r="S11" s="43" t="n"/>
      <c r="T11" s="1" t="n"/>
      <c r="U11" s="1" t="n"/>
      <c r="V11" s="1" t="n"/>
      <c r="W11" s="1" t="n"/>
      <c r="X11" s="1" t="n"/>
      <c r="Y11" s="1" t="n"/>
      <c r="Z11" s="1" t="n"/>
    </row>
    <row r="12" ht="45" customFormat="1" customHeight="1" s="3" thickBot="1">
      <c r="D12" s="119" t="inlineStr">
        <is>
          <t>B2B</t>
        </is>
      </c>
      <c r="E12" s="128">
        <f>E8/E6</f>
        <v/>
      </c>
      <c r="F12" s="128">
        <f>F8/F6</f>
        <v/>
      </c>
      <c r="G12" s="129">
        <f>G8/G6</f>
        <v/>
      </c>
      <c r="H12" s="128">
        <f>H8/H6</f>
        <v/>
      </c>
      <c r="I12" s="128">
        <f>I8/I6</f>
        <v/>
      </c>
      <c r="J12" s="129">
        <f>J8/J6</f>
        <v/>
      </c>
      <c r="K12" s="130">
        <f>K8/K6</f>
        <v/>
      </c>
      <c r="L12" s="128">
        <f>L8/L6</f>
        <v/>
      </c>
      <c r="M12" s="128">
        <f>M8/M6</f>
        <v/>
      </c>
      <c r="N12" s="129">
        <f>N8/N6</f>
        <v/>
      </c>
      <c r="O12" s="128">
        <f>O8/O6</f>
        <v/>
      </c>
      <c r="P12" s="128" t="n"/>
      <c r="Q12" s="129">
        <f>Q8/Q6</f>
        <v/>
      </c>
      <c r="R12" s="130">
        <f>R8/R6</f>
        <v/>
      </c>
      <c r="S12" s="126" t="n"/>
      <c r="T12" s="131" t="n"/>
      <c r="U12" s="131" t="n"/>
      <c r="V12" s="131" t="n"/>
      <c r="W12" s="131" t="n"/>
      <c r="X12" s="131" t="n"/>
      <c r="Y12" s="131" t="n"/>
      <c r="Z12" s="131" t="n"/>
    </row>
    <row r="13" ht="45" customFormat="1" customHeight="1" s="3" thickTop="1">
      <c r="C13" s="45" t="n"/>
      <c r="D13" s="32" t="n"/>
      <c r="E13" s="8" t="n"/>
      <c r="F13" s="8" t="n"/>
      <c r="G13" s="88" t="n"/>
      <c r="H13" s="8" t="n"/>
      <c r="I13" s="8" t="n"/>
      <c r="J13" s="88" t="n"/>
      <c r="K13" s="49" t="n"/>
      <c r="L13" s="8" t="n"/>
      <c r="M13" s="8" t="n"/>
      <c r="N13" s="88" t="n"/>
      <c r="O13" s="8" t="n"/>
      <c r="P13" s="8" t="n"/>
      <c r="Q13" s="88" t="n"/>
      <c r="R13" s="49" t="n"/>
      <c r="S13" s="8" t="n"/>
      <c r="T13" s="8" t="n"/>
      <c r="U13" s="8" t="n"/>
      <c r="V13" s="8" t="n"/>
      <c r="W13" s="27" t="n"/>
      <c r="X13" s="8" t="n"/>
      <c r="Y13" s="8" t="n"/>
      <c r="Z13" s="8" t="n"/>
    </row>
    <row r="14" ht="45" customFormat="1" customHeight="1" s="3">
      <c r="C14" s="45" t="n"/>
      <c r="D14" s="32" t="n"/>
      <c r="E14" s="7" t="n"/>
      <c r="F14" s="7" t="n"/>
      <c r="G14" s="28" t="n"/>
      <c r="H14" s="7" t="n"/>
      <c r="I14" s="7" t="n"/>
      <c r="J14" s="28" t="n"/>
      <c r="K14" s="50" t="n"/>
      <c r="L14" s="7" t="n"/>
      <c r="M14" s="7" t="n"/>
      <c r="N14" s="28" t="n"/>
      <c r="O14" s="7" t="n"/>
      <c r="P14" s="7" t="n"/>
      <c r="Q14" s="28" t="n"/>
      <c r="R14" s="50" t="n"/>
      <c r="S14" s="4" t="n"/>
      <c r="T14" s="8" t="n"/>
      <c r="U14" s="8" t="n"/>
      <c r="V14" s="8" t="n"/>
      <c r="W14" s="27" t="n"/>
      <c r="X14" s="8" t="n"/>
      <c r="Y14" s="8" t="n"/>
      <c r="Z14" s="8" t="n"/>
    </row>
    <row r="15" ht="45" customFormat="1" customHeight="1" s="3" thickBot="1">
      <c r="C15" s="108" t="inlineStr">
        <is>
          <t>EBITDA €</t>
        </is>
      </c>
      <c r="D15" s="9" t="inlineStr">
        <is>
          <t>Total</t>
        </is>
      </c>
      <c r="E15" s="134" t="n">
        <v>259000000</v>
      </c>
      <c r="F15" s="134" t="n">
        <v>252000000</v>
      </c>
      <c r="G15" s="104">
        <f>E15+F15</f>
        <v/>
      </c>
      <c r="H15" s="134" t="n">
        <v>254100000</v>
      </c>
      <c r="I15" s="134" t="n">
        <v>187300000</v>
      </c>
      <c r="J15" s="104">
        <f>H15+I15</f>
        <v/>
      </c>
      <c r="K15" s="105">
        <f>G15+J15</f>
        <v/>
      </c>
      <c r="L15" s="134" t="n">
        <v>244100000</v>
      </c>
      <c r="M15" s="134" t="n">
        <v>244000000</v>
      </c>
      <c r="N15" s="104">
        <f>L15+M15</f>
        <v/>
      </c>
      <c r="O15" s="134" t="n">
        <v>228900000</v>
      </c>
      <c r="P15" s="134" t="n"/>
      <c r="Q15" s="104">
        <f>O15+P15</f>
        <v/>
      </c>
      <c r="R15" s="105">
        <f>N15+Q15</f>
        <v/>
      </c>
      <c r="S15" s="34" t="n"/>
      <c r="T15" s="135">
        <f>L15/E15-1</f>
        <v/>
      </c>
      <c r="U15" s="135">
        <f>M15/F15-1</f>
        <v/>
      </c>
      <c r="V15" s="140">
        <f>N15/G15-1</f>
        <v/>
      </c>
      <c r="W15" s="135">
        <f>O15/H15-1</f>
        <v/>
      </c>
      <c r="X15" s="35" t="n"/>
      <c r="Y15" s="36" t="n"/>
      <c r="Z15" s="16" t="n"/>
    </row>
    <row r="16" ht="45" customFormat="1" customHeight="1" s="3" thickTop="1"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45" customFormat="1" customHeight="1" s="3"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45" customFormat="1" customHeight="1" s="3" thickBot="1">
      <c r="C18" s="112" t="inlineStr">
        <is>
          <t>EBITDA %</t>
        </is>
      </c>
      <c r="D18" s="9" t="inlineStr">
        <is>
          <t>Total</t>
        </is>
      </c>
      <c r="E18" s="35">
        <f>E15/E4</f>
        <v/>
      </c>
      <c r="F18" s="35">
        <f>F15/F4</f>
        <v/>
      </c>
      <c r="G18" s="36">
        <f>G15/G4</f>
        <v/>
      </c>
      <c r="H18" s="35">
        <f>H15/H4</f>
        <v/>
      </c>
      <c r="I18" s="35">
        <f>I15/I4</f>
        <v/>
      </c>
      <c r="J18" s="36">
        <f>J15/J4</f>
        <v/>
      </c>
      <c r="K18" s="132">
        <f>K15/K4</f>
        <v/>
      </c>
      <c r="L18" s="35">
        <f>L15/L4</f>
        <v/>
      </c>
      <c r="M18" s="35">
        <f>M15/M4</f>
        <v/>
      </c>
      <c r="N18" s="36">
        <f>N15/N4</f>
        <v/>
      </c>
      <c r="O18" s="35">
        <f>O15/O4</f>
        <v/>
      </c>
      <c r="P18" s="35" t="n"/>
      <c r="Q18" s="36">
        <f>Q15/Q4</f>
        <v/>
      </c>
      <c r="R18" s="132">
        <f>R15/R4</f>
        <v/>
      </c>
      <c r="S18" s="12" t="n"/>
      <c r="T18" s="135">
        <f>L18-E18</f>
        <v/>
      </c>
      <c r="U18" s="133">
        <f>M18-F18</f>
        <v/>
      </c>
      <c r="V18" s="140">
        <f>N18-G18</f>
        <v/>
      </c>
      <c r="W18" s="133">
        <f>O18-H18</f>
        <v/>
      </c>
      <c r="X18" s="12" t="n"/>
      <c r="Y18" s="25" t="n"/>
      <c r="Z18" s="26" t="n"/>
    </row>
    <row r="19" ht="45" customFormat="1" customHeight="1" s="3" thickTop="1">
      <c r="C19" s="97" t="n"/>
      <c r="D19" s="32" t="n"/>
      <c r="E19" s="98" t="n"/>
      <c r="F19" s="98" t="n"/>
      <c r="G19" s="99" t="n"/>
      <c r="H19" s="98" t="n"/>
      <c r="I19" s="98" t="n"/>
      <c r="J19" s="99" t="n"/>
      <c r="K19" s="100" t="n"/>
      <c r="L19" s="98" t="n"/>
      <c r="M19" s="98" t="n"/>
      <c r="N19" s="99" t="n"/>
      <c r="O19" s="98" t="n"/>
      <c r="P19" s="98" t="n"/>
      <c r="Q19" s="99" t="n"/>
      <c r="R19" s="100" t="n"/>
      <c r="S19" s="98" t="n"/>
      <c r="T19" s="101" t="n"/>
      <c r="U19" s="101" t="n"/>
      <c r="V19" s="101" t="n"/>
      <c r="W19" s="102" t="n"/>
      <c r="X19" s="103" t="n"/>
      <c r="Y19" s="103" t="n"/>
      <c r="Z19" s="103" t="n"/>
    </row>
    <row r="20" ht="45" customFormat="1" customHeight="1" s="3"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45" customFormat="1" customHeight="1" s="3">
      <c r="C21" s="106" t="inlineStr">
        <is>
          <t>Operational KPI's</t>
        </is>
      </c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6" customFormat="1" customHeight="1" s="3">
      <c r="A22" s="195" t="inlineStr">
        <is>
          <t>Quota Mercado</t>
        </is>
      </c>
      <c r="B22" s="195" t="inlineStr">
        <is>
          <t>Receitas retalhistas (ANACOM) 🟡</t>
        </is>
      </c>
      <c r="C22" s="196" t="n">
        <v>0.374</v>
      </c>
      <c r="D22" s="196" t="n">
        <v>0.372</v>
      </c>
      <c r="E22" s="196" t="n">
        <v>0.372</v>
      </c>
      <c r="F22" s="196" t="n">
        <v>0.371</v>
      </c>
      <c r="G22" s="196" t="n">
        <v>0.371</v>
      </c>
      <c r="H22" s="196" t="n">
        <v>0.371</v>
      </c>
      <c r="I22" s="196" t="n">
        <v>0.371</v>
      </c>
      <c r="J22" s="196" t="n">
        <v>0.372</v>
      </c>
      <c r="K22" s="196" t="n">
        <v>0.374</v>
      </c>
      <c r="L22" s="196" t="n">
        <v>0.374</v>
      </c>
      <c r="M22" s="196" t="n">
        <v>0.374</v>
      </c>
      <c r="N22" s="202" t="n"/>
      <c r="O22" s="202" t="n"/>
      <c r="P22" s="202" t="n"/>
      <c r="Q22" s="198" t="n">
        <v>-0.002000000000000002</v>
      </c>
      <c r="R22" s="198" t="n">
        <v>0.002000000000000002</v>
      </c>
      <c r="S22" s="198" t="n">
        <v>0.002000000000000002</v>
      </c>
      <c r="T22" s="198" t="n">
        <v>0.003000000000000003</v>
      </c>
      <c r="U22" s="203" t="n"/>
      <c r="V22" s="203" t="n"/>
      <c r="W22" s="203" t="n"/>
      <c r="X22" s="4" t="n"/>
      <c r="Y22" s="4" t="n"/>
      <c r="Z22" s="4" t="n"/>
    </row>
    <row r="23" ht="20" customFormat="1" customHeight="1" s="3">
      <c r="A23" s="154" t="inlineStr">
        <is>
          <t>🟡 Quota de receitas retalhistas totais (ANACOM Q3 2025). Inclui fixo+móvel+pacotes. CYQ4'24 = inicio DIGI. CYQ4'25 = dados não disponíveis (ANACOM CYQ3'25).</t>
        </is>
      </c>
      <c r="X23" s="4" t="n"/>
      <c r="Y23" s="4" t="n"/>
      <c r="Z23" s="4" t="n"/>
    </row>
    <row r="24" ht="45" customFormat="1" customHeight="1" s="3"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45" customFormat="1" customHeight="1" s="3"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45" customFormat="1" customHeight="1" s="3"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45" customFormat="1" customHeight="1" s="3"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45" customFormat="1" customHeight="1" s="3"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45" customFormat="1" customHeight="1" s="3"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45" customFormat="1" customHeight="1" s="3"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45" customFormat="1" customHeight="1" s="3"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45" customFormat="1" customHeight="1" s="3"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45" customFormat="1" customHeight="1" s="3"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45" customFormat="1" customHeight="1" s="3"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45" customFormat="1" customHeight="1" s="3"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45" customFormat="1" customHeight="1" s="3"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45" customFormat="1" customHeight="1" s="3"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</sheetData>
  <mergeCells count="3">
    <mergeCell ref="C4:C8"/>
    <mergeCell ref="C10:C12"/>
    <mergeCell ref="A23:W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2" customHeight="1">
      <c r="A1" s="184" t="inlineStr">
        <is>
          <t>MEO v2 (Altice Portugal) — Estimativa Analítica Independente</t>
        </is>
      </c>
    </row>
    <row r="2" ht="18" customHeight="1">
      <c r="A2" s="142" t="inlineStr">
        <is>
          <t>⚠️  Altice Portugal não é cotada separadamente — dados trimestrais PT não são de divulgação obrigatória. Estimativas baseadas em relatórios Altice Group, ANACOM e benchmarks setoriais.  †CYQ4'25, H2'25, CY'25 incluem Q4'25 estimado (placeholder = Q3'25).</t>
        </is>
      </c>
    </row>
    <row r="3" ht="18" customHeight="1">
      <c r="A3" s="143" t="inlineStr">
        <is>
          <t>🟠 Orange = Estimativa analítica. Comparar com sheet Meo (confirmada) para verificar desvios.</t>
        </is>
      </c>
    </row>
    <row r="4" ht="30" customHeight="1">
      <c r="A4" s="144" t="inlineStr">
        <is>
          <t>Financial KPI's</t>
        </is>
      </c>
      <c r="B4" s="144" t="inlineStr"/>
      <c r="C4" s="144" t="inlineStr">
        <is>
          <t>CYQ1'24</t>
        </is>
      </c>
      <c r="D4" s="144" t="inlineStr">
        <is>
          <t>CYQ2'24</t>
        </is>
      </c>
      <c r="E4" s="144" t="inlineStr">
        <is>
          <t>H1'24</t>
        </is>
      </c>
      <c r="F4" s="144" t="inlineStr">
        <is>
          <t>CYQ3'24</t>
        </is>
      </c>
      <c r="G4" s="144" t="inlineStr">
        <is>
          <t>CYQ4'24</t>
        </is>
      </c>
      <c r="H4" s="144" t="inlineStr">
        <is>
          <t>H2'24</t>
        </is>
      </c>
      <c r="I4" s="144" t="inlineStr">
        <is>
          <t>CY'24</t>
        </is>
      </c>
      <c r="J4" s="144" t="inlineStr">
        <is>
          <t>CYQ1'25</t>
        </is>
      </c>
      <c r="K4" s="144" t="inlineStr">
        <is>
          <t>CYQ2'25</t>
        </is>
      </c>
      <c r="L4" s="144" t="inlineStr">
        <is>
          <t>H1'25</t>
        </is>
      </c>
      <c r="M4" s="144" t="inlineStr">
        <is>
          <t>CYQ3'25</t>
        </is>
      </c>
      <c r="N4" s="144" t="inlineStr">
        <is>
          <t>CYQ4'25†</t>
        </is>
      </c>
      <c r="O4" s="144" t="inlineStr">
        <is>
          <t>H2'25†</t>
        </is>
      </c>
      <c r="P4" s="144" t="inlineStr">
        <is>
          <t>CY'25†</t>
        </is>
      </c>
      <c r="Q4" s="144" t="inlineStr">
        <is>
          <t>Y/Y Q1'25</t>
        </is>
      </c>
      <c r="R4" s="144" t="inlineStr">
        <is>
          <t>Y/Y Q2'25</t>
        </is>
      </c>
      <c r="S4" s="144" t="inlineStr">
        <is>
          <t>Y/Y H1</t>
        </is>
      </c>
      <c r="T4" s="144" t="inlineStr">
        <is>
          <t>Y/Y Q3'25</t>
        </is>
      </c>
      <c r="U4" s="144" t="inlineStr">
        <is>
          <t>Y/Y Q4'25</t>
        </is>
      </c>
      <c r="V4" s="144" t="inlineStr">
        <is>
          <t>Y/Y H2</t>
        </is>
      </c>
      <c r="W4" s="144" t="inlineStr">
        <is>
          <t>Y/Y '25</t>
        </is>
      </c>
    </row>
    <row r="5" ht="18" customHeight="1">
      <c r="A5" s="145" t="inlineStr">
        <is>
          <t>Revenue €</t>
        </is>
      </c>
    </row>
    <row r="6" ht="16" customHeight="1">
      <c r="A6" s="146" t="inlineStr">
        <is>
          <t>Revenue €</t>
        </is>
      </c>
      <c r="B6" s="146" t="inlineStr">
        <is>
          <t>Total</t>
        </is>
      </c>
      <c r="C6" s="147" t="n">
        <v>686700000</v>
      </c>
      <c r="D6" s="147" t="n">
        <v>693700000</v>
      </c>
      <c r="E6" s="147" t="n">
        <v>1380400000</v>
      </c>
      <c r="F6" s="147" t="n">
        <v>733200000</v>
      </c>
      <c r="G6" s="147" t="n">
        <v>740400000</v>
      </c>
      <c r="H6" s="147" t="n">
        <v>1473600000</v>
      </c>
      <c r="I6" s="147" t="n">
        <v>2854000000</v>
      </c>
      <c r="J6" s="147" t="n">
        <v>687500000</v>
      </c>
      <c r="K6" s="147" t="n">
        <v>675600000</v>
      </c>
      <c r="L6" s="147" t="n">
        <v>1363100000</v>
      </c>
      <c r="M6" s="147" t="n">
        <v>684300000</v>
      </c>
      <c r="N6" s="147" t="n">
        <v>691000000</v>
      </c>
      <c r="O6" s="147" t="n">
        <v>1375300000</v>
      </c>
      <c r="P6" s="147" t="n">
        <v>2738400000</v>
      </c>
      <c r="Q6" s="149" t="n">
        <v>0.001164991990680064</v>
      </c>
      <c r="R6" s="149" t="n">
        <v>-0.02609197059247513</v>
      </c>
      <c r="S6" s="149" t="n">
        <v>-0.01253259924659519</v>
      </c>
      <c r="T6" s="149" t="n">
        <v>-0.06669394435351882</v>
      </c>
      <c r="U6" s="150" t="n"/>
      <c r="V6" s="149" t="n">
        <v>-0.06670738327904452</v>
      </c>
      <c r="W6" s="149" t="n">
        <v>-0.04050455501051156</v>
      </c>
    </row>
    <row r="7" ht="16" customHeight="1">
      <c r="A7" s="151" t="inlineStr"/>
      <c r="B7" s="146" t="inlineStr">
        <is>
          <t>Eliminações</t>
        </is>
      </c>
      <c r="C7" s="147" t="n">
        <v>-8300000</v>
      </c>
      <c r="D7" s="147" t="n">
        <v>-4300000</v>
      </c>
      <c r="E7" s="147" t="n">
        <v>-12600000</v>
      </c>
      <c r="F7" s="147" t="n">
        <v>-6800000</v>
      </c>
      <c r="G7" s="147" t="n">
        <v>-3600000</v>
      </c>
      <c r="H7" s="147" t="n">
        <v>-10400000</v>
      </c>
      <c r="I7" s="147" t="n">
        <v>-23000000</v>
      </c>
      <c r="J7" s="147" t="n">
        <v>-2500000</v>
      </c>
      <c r="K7" s="147" t="n">
        <v>-9400000</v>
      </c>
      <c r="L7" s="147" t="n">
        <v>-11900000</v>
      </c>
      <c r="M7" s="147" t="n">
        <v>-6700000</v>
      </c>
      <c r="N7" s="147" t="n">
        <v>0</v>
      </c>
      <c r="O7" s="147" t="n">
        <v>-6700000</v>
      </c>
      <c r="P7" s="147" t="n">
        <v>-18600000</v>
      </c>
      <c r="Q7" s="149" t="n">
        <v>0.6987951807228916</v>
      </c>
      <c r="R7" s="149" t="n">
        <v>-1.186046511627907</v>
      </c>
      <c r="S7" s="149" t="n">
        <v>0.05555555555555555</v>
      </c>
      <c r="T7" s="149" t="n">
        <v>0.01470588235294118</v>
      </c>
      <c r="U7" s="150" t="n"/>
      <c r="V7" s="149" t="n">
        <v>0.3557692307692308</v>
      </c>
      <c r="W7" s="149" t="n">
        <v>0.191304347826087</v>
      </c>
    </row>
    <row r="8" ht="16" customHeight="1">
      <c r="A8" s="151" t="inlineStr"/>
      <c r="B8" s="146" t="inlineStr">
        <is>
          <t>Telco</t>
        </is>
      </c>
      <c r="C8" s="147" t="n">
        <v>695000000</v>
      </c>
      <c r="D8" s="147" t="n">
        <v>698000000</v>
      </c>
      <c r="E8" s="147" t="n">
        <v>1393000000</v>
      </c>
      <c r="F8" s="147" t="n">
        <v>740000000</v>
      </c>
      <c r="G8" s="147" t="n">
        <v>744000000</v>
      </c>
      <c r="H8" s="147" t="n">
        <v>1484000000</v>
      </c>
      <c r="I8" s="147" t="n">
        <v>2877000000</v>
      </c>
      <c r="J8" s="147" t="n">
        <v>690000000</v>
      </c>
      <c r="K8" s="147" t="n">
        <v>685000000</v>
      </c>
      <c r="L8" s="147" t="n">
        <v>1375000000</v>
      </c>
      <c r="M8" s="147" t="n">
        <v>691000000</v>
      </c>
      <c r="N8" s="147" t="n">
        <v>691000000</v>
      </c>
      <c r="O8" s="147" t="n">
        <v>1382000000</v>
      </c>
      <c r="P8" s="147" t="n">
        <v>2757000000</v>
      </c>
      <c r="Q8" s="149" t="n">
        <v>-0.007194244604316547</v>
      </c>
      <c r="R8" s="149" t="n">
        <v>-0.01862464183381089</v>
      </c>
      <c r="S8" s="149" t="n">
        <v>-0.01292175161521895</v>
      </c>
      <c r="T8" s="149" t="n">
        <v>-0.06621621621621622</v>
      </c>
      <c r="U8" s="150" t="n"/>
      <c r="V8" s="149" t="n">
        <v>-0.06873315363881402</v>
      </c>
      <c r="W8" s="149" t="n">
        <v>-0.04171011470281543</v>
      </c>
    </row>
    <row r="9" ht="16" customHeight="1">
      <c r="A9" s="151" t="inlineStr"/>
      <c r="B9" s="146" t="inlineStr">
        <is>
          <t>B2C</t>
        </is>
      </c>
      <c r="C9" s="147" t="n">
        <v>368000000</v>
      </c>
      <c r="D9" s="147" t="n">
        <v>370000000</v>
      </c>
      <c r="E9" s="147" t="n">
        <v>738000000</v>
      </c>
      <c r="F9" s="147" t="n">
        <v>391000000</v>
      </c>
      <c r="G9" s="147" t="n">
        <v>386000000</v>
      </c>
      <c r="H9" s="147" t="n">
        <v>777000000</v>
      </c>
      <c r="I9" s="147" t="n">
        <v>1515000000</v>
      </c>
      <c r="J9" s="147" t="n">
        <v>382000000</v>
      </c>
      <c r="K9" s="147" t="n">
        <v>370000000</v>
      </c>
      <c r="L9" s="147" t="n">
        <v>752000000</v>
      </c>
      <c r="M9" s="147" t="n">
        <v>368000000</v>
      </c>
      <c r="N9" s="147" t="n">
        <v>368000000</v>
      </c>
      <c r="O9" s="147" t="n">
        <v>736000000</v>
      </c>
      <c r="P9" s="147" t="n">
        <v>1488000000</v>
      </c>
      <c r="Q9" s="149" t="n">
        <v>0.03804347826086957</v>
      </c>
      <c r="R9" s="149" t="n">
        <v>0</v>
      </c>
      <c r="S9" s="149" t="n">
        <v>0.01897018970189702</v>
      </c>
      <c r="T9" s="149" t="n">
        <v>-0.05882352941176471</v>
      </c>
      <c r="U9" s="150" t="n"/>
      <c r="V9" s="149" t="n">
        <v>-0.05276705276705277</v>
      </c>
      <c r="W9" s="149" t="n">
        <v>-0.01782178217821782</v>
      </c>
    </row>
    <row r="10" ht="16" customHeight="1">
      <c r="A10" s="151" t="inlineStr"/>
      <c r="B10" s="146" t="inlineStr">
        <is>
          <t>B2B</t>
        </is>
      </c>
      <c r="C10" s="147" t="n">
        <v>327000000</v>
      </c>
      <c r="D10" s="147" t="n">
        <v>328000000</v>
      </c>
      <c r="E10" s="147" t="n">
        <v>655000000</v>
      </c>
      <c r="F10" s="147" t="n">
        <v>349000000</v>
      </c>
      <c r="G10" s="147" t="n">
        <v>358000000</v>
      </c>
      <c r="H10" s="147" t="n">
        <v>707000000</v>
      </c>
      <c r="I10" s="147" t="n">
        <v>1362000000</v>
      </c>
      <c r="J10" s="147" t="n">
        <v>308000000</v>
      </c>
      <c r="K10" s="147" t="n">
        <v>315000000</v>
      </c>
      <c r="L10" s="147" t="n">
        <v>623000000</v>
      </c>
      <c r="M10" s="147" t="n">
        <v>323000000</v>
      </c>
      <c r="N10" s="147" t="n">
        <v>323000000</v>
      </c>
      <c r="O10" s="147" t="n">
        <v>646000000</v>
      </c>
      <c r="P10" s="147" t="n">
        <v>1269000000</v>
      </c>
      <c r="Q10" s="149" t="n">
        <v>-0.0581039755351682</v>
      </c>
      <c r="R10" s="149" t="n">
        <v>-0.03963414634146342</v>
      </c>
      <c r="S10" s="149" t="n">
        <v>-0.04885496183206107</v>
      </c>
      <c r="T10" s="149" t="n">
        <v>-0.07449856733524356</v>
      </c>
      <c r="U10" s="150" t="n"/>
      <c r="V10" s="149" t="n">
        <v>-0.08628005657708628</v>
      </c>
      <c r="W10" s="149" t="n">
        <v>-0.06828193832599119</v>
      </c>
    </row>
    <row r="11" ht="18" customHeight="1">
      <c r="A11" s="145" t="inlineStr">
        <is>
          <t>Revenue weight (%)</t>
        </is>
      </c>
    </row>
    <row r="12" ht="16" customHeight="1">
      <c r="A12" s="146" t="inlineStr">
        <is>
          <t>Revenue weight (%)</t>
        </is>
      </c>
      <c r="B12" s="146" t="inlineStr">
        <is>
          <t>Telco</t>
        </is>
      </c>
      <c r="C12" s="149" t="n">
        <v>1</v>
      </c>
      <c r="D12" s="149" t="n">
        <v>1</v>
      </c>
      <c r="E12" s="149" t="n">
        <v>1</v>
      </c>
      <c r="F12" s="149" t="n">
        <v>1</v>
      </c>
      <c r="G12" s="149" t="n">
        <v>1</v>
      </c>
      <c r="H12" s="149" t="n">
        <v>1</v>
      </c>
      <c r="I12" s="149" t="n">
        <v>1</v>
      </c>
      <c r="J12" s="149" t="n">
        <v>1</v>
      </c>
      <c r="K12" s="149" t="n">
        <v>1</v>
      </c>
      <c r="L12" s="149" t="n">
        <v>1</v>
      </c>
      <c r="M12" s="149" t="n">
        <v>1</v>
      </c>
      <c r="N12" s="149" t="n">
        <v>1</v>
      </c>
      <c r="O12" s="149" t="n">
        <v>1</v>
      </c>
      <c r="P12" s="149" t="n">
        <v>1</v>
      </c>
      <c r="Q12" s="152" t="n">
        <v>0</v>
      </c>
      <c r="R12" s="152" t="n">
        <v>0</v>
      </c>
      <c r="S12" s="152" t="n">
        <v>0</v>
      </c>
      <c r="T12" s="152" t="n">
        <v>0</v>
      </c>
      <c r="U12" s="153" t="n"/>
      <c r="V12" s="153" t="n"/>
      <c r="W12" s="153" t="n"/>
    </row>
    <row r="13" ht="16" customHeight="1">
      <c r="A13" s="151" t="inlineStr"/>
      <c r="B13" s="146" t="inlineStr">
        <is>
          <t>B2C</t>
        </is>
      </c>
      <c r="C13" s="149" t="n">
        <v>0.5294964028776978</v>
      </c>
      <c r="D13" s="149" t="n">
        <v>0.5300859598853869</v>
      </c>
      <c r="E13" s="149" t="n">
        <v>0.529791816223977</v>
      </c>
      <c r="F13" s="149" t="n">
        <v>0.5283783783783784</v>
      </c>
      <c r="G13" s="149" t="n">
        <v>0.5188172043010753</v>
      </c>
      <c r="H13" s="149" t="n">
        <v>0.5235849056603774</v>
      </c>
      <c r="I13" s="149" t="n">
        <v>0.5265901981230449</v>
      </c>
      <c r="J13" s="149" t="n">
        <v>0.5536231884057971</v>
      </c>
      <c r="K13" s="149" t="n">
        <v>0.5401459854014599</v>
      </c>
      <c r="L13" s="149" t="n">
        <v>0.5469090909090909</v>
      </c>
      <c r="M13" s="149" t="n">
        <v>0.532561505065123</v>
      </c>
      <c r="N13" s="149" t="n">
        <v>0.532561505065123</v>
      </c>
      <c r="O13" s="149" t="n">
        <v>0.532561505065123</v>
      </c>
      <c r="P13" s="149" t="n">
        <v>0.5397170837867247</v>
      </c>
      <c r="Q13" s="152" t="n">
        <v>0.02412678552809921</v>
      </c>
      <c r="R13" s="152" t="n">
        <v>0.01006002551607299</v>
      </c>
      <c r="S13" s="152" t="n">
        <v>0.01711727468511393</v>
      </c>
      <c r="T13" s="152" t="n">
        <v>0.004183126686744587</v>
      </c>
      <c r="U13" s="153" t="n"/>
      <c r="V13" s="153" t="n"/>
      <c r="W13" s="153" t="n"/>
    </row>
    <row r="14" ht="16" customHeight="1">
      <c r="A14" s="151" t="inlineStr"/>
      <c r="B14" s="146" t="inlineStr">
        <is>
          <t>B2B</t>
        </is>
      </c>
      <c r="C14" s="149" t="n">
        <v>0.4705035971223022</v>
      </c>
      <c r="D14" s="149" t="n">
        <v>0.4699140401146132</v>
      </c>
      <c r="E14" s="149" t="n">
        <v>0.470208183776023</v>
      </c>
      <c r="F14" s="149" t="n">
        <v>0.4716216216216216</v>
      </c>
      <c r="G14" s="149" t="n">
        <v>0.4811827956989247</v>
      </c>
      <c r="H14" s="149" t="n">
        <v>0.4764150943396226</v>
      </c>
      <c r="I14" s="149" t="n">
        <v>0.4734098018769551</v>
      </c>
      <c r="J14" s="149" t="n">
        <v>0.4463768115942029</v>
      </c>
      <c r="K14" s="149" t="n">
        <v>0.4598540145985401</v>
      </c>
      <c r="L14" s="149" t="n">
        <v>0.4530909090909091</v>
      </c>
      <c r="M14" s="149" t="n">
        <v>0.467438494934877</v>
      </c>
      <c r="N14" s="149" t="n">
        <v>0.467438494934877</v>
      </c>
      <c r="O14" s="149" t="n">
        <v>0.467438494934877</v>
      </c>
      <c r="P14" s="149" t="n">
        <v>0.4602829162132753</v>
      </c>
      <c r="Q14" s="152" t="n">
        <v>-0.02412678552809927</v>
      </c>
      <c r="R14" s="152" t="n">
        <v>-0.01006002551607305</v>
      </c>
      <c r="S14" s="152" t="n">
        <v>-0.01711727468511387</v>
      </c>
      <c r="T14" s="152" t="n">
        <v>-0.004183126686744643</v>
      </c>
      <c r="U14" s="153" t="n"/>
      <c r="V14" s="153" t="n"/>
      <c r="W14" s="153" t="n"/>
    </row>
    <row r="15" ht="18" customHeight="1">
      <c r="A15" s="145" t="inlineStr">
        <is>
          <t>EBITDA €</t>
        </is>
      </c>
    </row>
    <row r="16" ht="16" customHeight="1">
      <c r="A16" s="146" t="inlineStr">
        <is>
          <t>EBITDA €</t>
        </is>
      </c>
      <c r="B16" s="146" t="inlineStr">
        <is>
          <t>Total</t>
        </is>
      </c>
      <c r="C16" s="147" t="n">
        <v>248000000</v>
      </c>
      <c r="D16" s="147" t="n">
        <v>245000000</v>
      </c>
      <c r="E16" s="147" t="n">
        <v>493000000</v>
      </c>
      <c r="F16" s="147" t="n">
        <v>248000000</v>
      </c>
      <c r="G16" s="147" t="n">
        <v>242000000</v>
      </c>
      <c r="H16" s="147" t="n">
        <v>490000000</v>
      </c>
      <c r="I16" s="147" t="n">
        <v>983000000</v>
      </c>
      <c r="J16" s="147" t="n">
        <v>240000000</v>
      </c>
      <c r="K16" s="147" t="n">
        <v>238000000</v>
      </c>
      <c r="L16" s="147" t="n">
        <v>478000000</v>
      </c>
      <c r="M16" s="147" t="n">
        <v>232000000</v>
      </c>
      <c r="N16" s="147" t="n">
        <v>232000000</v>
      </c>
      <c r="O16" s="147" t="n">
        <v>464000000</v>
      </c>
      <c r="P16" s="147" t="n">
        <v>942000000</v>
      </c>
      <c r="Q16" s="149" t="n">
        <v>-0.03225806451612903</v>
      </c>
      <c r="R16" s="149" t="n">
        <v>-0.02857142857142857</v>
      </c>
      <c r="S16" s="149" t="n">
        <v>-0.03042596348884381</v>
      </c>
      <c r="T16" s="149" t="n">
        <v>-0.06451612903225806</v>
      </c>
      <c r="U16" s="150" t="n"/>
      <c r="V16" s="149" t="n">
        <v>-0.05306122448979592</v>
      </c>
      <c r="W16" s="149" t="n">
        <v>-0.04170905391658189</v>
      </c>
    </row>
    <row r="17" ht="16" customHeight="1">
      <c r="A17" s="146" t="inlineStr">
        <is>
          <t>EBITDA %</t>
        </is>
      </c>
      <c r="B17" s="146" t="inlineStr">
        <is>
          <t>Total</t>
        </is>
      </c>
      <c r="C17" s="149" t="n">
        <v>0.3611475171108199</v>
      </c>
      <c r="D17" s="149" t="n">
        <v>0.3531786074672049</v>
      </c>
      <c r="E17" s="149" t="n">
        <v>0.3571428571428572</v>
      </c>
      <c r="F17" s="149" t="n">
        <v>0.3382433169667212</v>
      </c>
      <c r="G17" s="149" t="n">
        <v>0.3268503511615343</v>
      </c>
      <c r="H17" s="149" t="n">
        <v>0.3325190010857763</v>
      </c>
      <c r="I17" s="149" t="n">
        <v>0.3444288717589348</v>
      </c>
      <c r="J17" s="149" t="n">
        <v>0.3490909090909091</v>
      </c>
      <c r="K17" s="149" t="n">
        <v>0.3522794552989935</v>
      </c>
      <c r="L17" s="149" t="n">
        <v>0.3506712640305187</v>
      </c>
      <c r="M17" s="149" t="n">
        <v>0.3390325880461786</v>
      </c>
      <c r="N17" s="149" t="n">
        <v>0.3357452966714906</v>
      </c>
      <c r="O17" s="149" t="n">
        <v>0.3373809350687123</v>
      </c>
      <c r="P17" s="149" t="n">
        <v>0.3439964943032428</v>
      </c>
      <c r="Q17" s="152" t="n">
        <v>-0.01205660801991076</v>
      </c>
      <c r="R17" s="152" t="n">
        <v>-0.0008991521682114034</v>
      </c>
      <c r="S17" s="152" t="n">
        <v>-0.00647159311233847</v>
      </c>
      <c r="T17" s="152" t="n">
        <v>0.0007892710794573654</v>
      </c>
      <c r="U17" s="153" t="n"/>
      <c r="V17" s="153" t="n"/>
      <c r="W17" s="153" t="n"/>
    </row>
    <row r="18" ht="18" customHeight="1">
      <c r="A18" s="145" t="inlineStr">
        <is>
          <t>Operational KPI's</t>
        </is>
      </c>
    </row>
    <row r="19" ht="24" customHeight="1">
      <c r="A19" s="154" t="inlineStr">
        <is>
          <t>KPIs operacionais não divulgados trimestralmente pela Altice Portugal. Ver relatórios ANACOM (anacom.pt).</t>
        </is>
      </c>
    </row>
    <row r="21">
      <c r="A21" s="224" t="inlineStr">
        <is>
          <t>Operational KPI's</t>
        </is>
      </c>
    </row>
    <row r="22">
      <c r="A22" s="225" t="inlineStr">
        <is>
          <t>Quota Mercado</t>
        </is>
      </c>
    </row>
    <row r="23">
      <c r="A23" s="225" t="inlineStr">
        <is>
          <t>Quota receitas retalhistas</t>
        </is>
      </c>
      <c r="B23" s="226" t="inlineStr">
        <is>
          <t>Receitas retalhistas ANACOM 🟡</t>
        </is>
      </c>
      <c r="C23" s="227" t="n">
        <v>0.374</v>
      </c>
      <c r="D23" s="227" t="n">
        <v>0.372</v>
      </c>
      <c r="E23" s="227" t="n">
        <v>0.372</v>
      </c>
      <c r="F23" s="227" t="n">
        <v>0.371</v>
      </c>
      <c r="G23" s="227" t="n">
        <v>0.371</v>
      </c>
      <c r="H23" s="227" t="n">
        <v>0.371</v>
      </c>
      <c r="I23" s="227" t="n">
        <v>0.371</v>
      </c>
      <c r="J23" s="227" t="n">
        <v>0.372</v>
      </c>
      <c r="K23" s="227" t="n">
        <v>0.374</v>
      </c>
      <c r="L23" s="227" t="n">
        <v>0.374</v>
      </c>
      <c r="M23" s="227" t="n">
        <v>0.374</v>
      </c>
      <c r="Q23" s="227" t="n">
        <v>-0.002000000000000002</v>
      </c>
      <c r="R23" s="227" t="n">
        <v>0.002000000000000002</v>
      </c>
      <c r="S23" s="227" t="n">
        <v>0.002000000000000002</v>
      </c>
      <c r="T23" s="227" t="n">
        <v>0.003000000000000003</v>
      </c>
    </row>
    <row r="24">
      <c r="A24" s="225" t="inlineStr">
        <is>
          <t>Clientes (Estimativa ANACOM)</t>
        </is>
      </c>
    </row>
    <row r="25">
      <c r="A25" s="225" t="inlineStr">
        <is>
          <t>Mobile customers</t>
        </is>
      </c>
      <c r="B25" s="226" t="inlineStr">
        <is>
          <t>Estimativa ('000) 🟠</t>
        </is>
      </c>
      <c r="C25" s="228" t="n">
        <v>6693</v>
      </c>
      <c r="D25" s="228" t="n">
        <v>6717</v>
      </c>
      <c r="E25" s="228" t="n">
        <v>6717</v>
      </c>
      <c r="F25" s="228" t="n">
        <v>6816</v>
      </c>
      <c r="G25" s="228" t="n">
        <v>6723</v>
      </c>
      <c r="H25" s="228" t="n">
        <v>6723</v>
      </c>
      <c r="I25" s="228" t="n">
        <v>6723</v>
      </c>
      <c r="J25" s="228" t="n">
        <v>6624</v>
      </c>
      <c r="K25" s="228" t="n">
        <v>6592</v>
      </c>
      <c r="L25" s="228" t="n">
        <v>6592</v>
      </c>
      <c r="M25" s="228" t="n">
        <v>6662</v>
      </c>
      <c r="N25" s="228" t="n">
        <v>6662</v>
      </c>
      <c r="O25" s="228" t="n">
        <v>6662</v>
      </c>
      <c r="P25" s="228" t="n">
        <v>6662</v>
      </c>
      <c r="Q25" s="229" t="n">
        <v>-0.01030927835051546</v>
      </c>
      <c r="R25" s="229" t="n">
        <v>-0.01860949828792616</v>
      </c>
      <c r="S25" s="229" t="n">
        <v>-0.01860949828792616</v>
      </c>
      <c r="T25" s="229" t="n">
        <v>-0.02259389671361502</v>
      </c>
      <c r="U25" s="229" t="n">
        <v>-0.009073330358470921</v>
      </c>
      <c r="V25" s="229" t="n">
        <v>-0.009073330358470921</v>
      </c>
      <c r="W25" s="229" t="n">
        <v>-0.009073330358470921</v>
      </c>
    </row>
    <row r="26">
      <c r="A26" s="225" t="inlineStr">
        <is>
          <t>TV customers</t>
        </is>
      </c>
      <c r="B26" s="226" t="inlineStr">
        <is>
          <t>Estimativa ('000) 🟠</t>
        </is>
      </c>
      <c r="C26" s="228" t="n">
        <v>1803</v>
      </c>
      <c r="D26" s="228" t="n">
        <v>1808</v>
      </c>
      <c r="E26" s="228" t="n">
        <v>1808</v>
      </c>
      <c r="F26" s="228" t="n">
        <v>1816</v>
      </c>
      <c r="G26" s="228" t="n">
        <v>1821</v>
      </c>
      <c r="H26" s="228" t="n">
        <v>1821</v>
      </c>
      <c r="I26" s="228" t="n">
        <v>1821</v>
      </c>
      <c r="J26" s="228" t="n">
        <v>1819</v>
      </c>
      <c r="K26" s="228" t="n">
        <v>1820</v>
      </c>
      <c r="L26" s="228" t="n">
        <v>1820</v>
      </c>
      <c r="M26" s="228" t="n">
        <v>1824</v>
      </c>
      <c r="N26" s="228" t="n">
        <v>1824</v>
      </c>
      <c r="O26" s="228" t="n">
        <v>1824</v>
      </c>
      <c r="P26" s="228" t="n">
        <v>1824</v>
      </c>
      <c r="Q26" s="229" t="n">
        <v>0.008874098724348309</v>
      </c>
      <c r="R26" s="229" t="n">
        <v>0.00663716814159292</v>
      </c>
      <c r="S26" s="229" t="n">
        <v>0.00663716814159292</v>
      </c>
      <c r="T26" s="229" t="n">
        <v>0.004405286343612335</v>
      </c>
      <c r="U26" s="229" t="n">
        <v>0.001647446457990115</v>
      </c>
      <c r="V26" s="229" t="n">
        <v>0.001647446457990115</v>
      </c>
      <c r="W26" s="229" t="n">
        <v>0.001647446457990115</v>
      </c>
    </row>
    <row r="27">
      <c r="A27" s="225" t="inlineStr">
        <is>
          <t>Internet Fixa</t>
        </is>
      </c>
      <c r="B27" s="226" t="inlineStr">
        <is>
          <t>Estimativa ('000) 🟠</t>
        </is>
      </c>
      <c r="C27" s="228" t="n">
        <v>1714</v>
      </c>
      <c r="D27" s="228" t="n">
        <v>1723</v>
      </c>
      <c r="E27" s="228" t="n">
        <v>1723</v>
      </c>
      <c r="F27" s="228" t="n">
        <v>1734</v>
      </c>
      <c r="G27" s="228" t="n">
        <v>1745</v>
      </c>
      <c r="H27" s="228" t="n">
        <v>1745</v>
      </c>
      <c r="I27" s="228" t="n">
        <v>1745</v>
      </c>
      <c r="J27" s="228" t="n">
        <v>1750</v>
      </c>
      <c r="K27" s="228" t="n">
        <v>1758</v>
      </c>
      <c r="L27" s="228" t="n">
        <v>1758</v>
      </c>
      <c r="M27" s="228" t="n">
        <v>1769</v>
      </c>
      <c r="N27" s="228" t="n">
        <v>1769</v>
      </c>
      <c r="O27" s="228" t="n">
        <v>1769</v>
      </c>
      <c r="P27" s="228" t="n">
        <v>1769</v>
      </c>
      <c r="Q27" s="229" t="n">
        <v>0.02100350058343057</v>
      </c>
      <c r="R27" s="229" t="n">
        <v>0.02031340684852002</v>
      </c>
      <c r="S27" s="229" t="n">
        <v>0.02031340684852002</v>
      </c>
      <c r="T27" s="229" t="n">
        <v>0.02018454440599769</v>
      </c>
      <c r="U27" s="229" t="n">
        <v>0.01375358166189112</v>
      </c>
      <c r="V27" s="229" t="n">
        <v>0.01375358166189112</v>
      </c>
      <c r="W27" s="229" t="n">
        <v>0.01375358166189112</v>
      </c>
    </row>
    <row r="28">
      <c r="A28" s="230" t="inlineStr">
        <is>
          <t>🟡 Quota: ANACOM Factos &amp; Números 3T2025 — MEO/Altice Portugal (série histórica). 🟠 Clientes estimados: total mercado ANACOM × quota de assinantes Q3'25 (fixo): Móvel 36.1% | TV 42.0% | BB fixa 41.0%. CYQ4'25 clientes = estimativa baseada em CYQ3'25. Altice Portugal não é cotada — dados operacionais não divulgados publicamente.</t>
        </is>
      </c>
    </row>
  </sheetData>
  <mergeCells count="8">
    <mergeCell ref="A5:W5"/>
    <mergeCell ref="A1:W1"/>
    <mergeCell ref="A18:W18"/>
    <mergeCell ref="A3:W3"/>
    <mergeCell ref="A15:W15"/>
    <mergeCell ref="A2:W2"/>
    <mergeCell ref="A11:W11"/>
    <mergeCell ref="A19:W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Z5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9" sqref="U9"/>
    </sheetView>
  </sheetViews>
  <sheetFormatPr baseColWidth="10" defaultRowHeight="45" customHeight="1"/>
  <cols>
    <col width="10.83203125" customWidth="1" style="1" min="1" max="2"/>
    <col width="28.5" customWidth="1" style="1" min="3" max="3"/>
    <col width="16.1640625" customWidth="1" style="1" min="4" max="4"/>
    <col width="19.6640625" bestFit="1" customWidth="1" style="2" min="5" max="5"/>
    <col width="19.1640625" bestFit="1" customWidth="1" style="2" min="6" max="10"/>
    <col width="21" bestFit="1" customWidth="1" style="2" min="11" max="11"/>
    <col width="19.1640625" bestFit="1" customWidth="1" style="2" min="12" max="15"/>
    <col width="24.83203125" customWidth="1" style="2" min="16" max="16"/>
    <col width="19.1640625" bestFit="1" customWidth="1" style="2" min="17" max="17"/>
    <col width="21" bestFit="1" customWidth="1" style="2" min="18" max="18"/>
    <col width="10.83203125" customWidth="1" style="2" min="19" max="26"/>
    <col width="10.83203125" customWidth="1" style="1" min="27" max="16384"/>
  </cols>
  <sheetData>
    <row r="3" ht="45" customFormat="1" customHeight="1" s="3" thickBot="1">
      <c r="C3" s="106" t="inlineStr">
        <is>
          <t>Financial KPI's</t>
        </is>
      </c>
      <c r="E3" s="114" t="inlineStr">
        <is>
          <t>CYQ1'24</t>
        </is>
      </c>
      <c r="F3" s="114" t="inlineStr">
        <is>
          <t>CYQ2'24</t>
        </is>
      </c>
      <c r="G3" s="115" t="inlineStr">
        <is>
          <t>H1'24</t>
        </is>
      </c>
      <c r="H3" s="114" t="inlineStr">
        <is>
          <t>CYQ3'24</t>
        </is>
      </c>
      <c r="I3" s="114" t="inlineStr">
        <is>
          <t>CYQ4'24</t>
        </is>
      </c>
      <c r="J3" s="115" t="inlineStr">
        <is>
          <t>H2'24</t>
        </is>
      </c>
      <c r="K3" s="116" t="inlineStr">
        <is>
          <t>CY'24</t>
        </is>
      </c>
      <c r="L3" s="114" t="inlineStr">
        <is>
          <t>CYQ1'25</t>
        </is>
      </c>
      <c r="M3" s="114" t="inlineStr">
        <is>
          <t>CYQ2'25</t>
        </is>
      </c>
      <c r="N3" s="115" t="inlineStr">
        <is>
          <t>H1'25</t>
        </is>
      </c>
      <c r="O3" s="114" t="inlineStr">
        <is>
          <t>CYQ3'25</t>
        </is>
      </c>
      <c r="P3" s="114" t="inlineStr">
        <is>
          <t>CYQ4'25</t>
        </is>
      </c>
      <c r="Q3" s="115" t="inlineStr">
        <is>
          <t>H2'25</t>
        </is>
      </c>
      <c r="R3" s="116" t="inlineStr">
        <is>
          <t>CY'25</t>
        </is>
      </c>
      <c r="S3" s="117" t="n"/>
      <c r="T3" s="114" t="inlineStr">
        <is>
          <t>Y/Y Q1'25</t>
        </is>
      </c>
      <c r="U3" s="114" t="inlineStr">
        <is>
          <t>Y/Y Q2'25</t>
        </is>
      </c>
      <c r="V3" s="115" t="inlineStr">
        <is>
          <t>Y/Y H1</t>
        </is>
      </c>
      <c r="W3" s="114" t="inlineStr">
        <is>
          <t>Y/Y Q3'25</t>
        </is>
      </c>
      <c r="X3" s="114" t="inlineStr">
        <is>
          <t>Y/Y Q4'25</t>
        </is>
      </c>
      <c r="Y3" s="115" t="inlineStr">
        <is>
          <t>Y/Y H2</t>
        </is>
      </c>
      <c r="Z3" s="118" t="inlineStr">
        <is>
          <t>Y/Y '25</t>
        </is>
      </c>
    </row>
    <row r="4" ht="45" customFormat="1" customHeight="1" s="3">
      <c r="C4" s="111" t="inlineStr">
        <is>
          <t>Revenue €</t>
        </is>
      </c>
      <c r="D4" s="6" t="inlineStr">
        <is>
          <t>Total</t>
        </is>
      </c>
      <c r="E4" s="66" t="n">
        <v>403300000</v>
      </c>
      <c r="F4" s="66" t="n">
        <v>444200000</v>
      </c>
      <c r="G4" s="71">
        <f>E4+F4</f>
        <v/>
      </c>
      <c r="H4" s="66" t="n">
        <v>462800000</v>
      </c>
      <c r="I4" s="66" t="n">
        <v>484900000</v>
      </c>
      <c r="J4" s="71">
        <f>H4+I4</f>
        <v/>
      </c>
      <c r="K4" s="76">
        <f>G4+J4</f>
        <v/>
      </c>
      <c r="L4" s="66" t="n">
        <v>421400000</v>
      </c>
      <c r="M4" s="66" t="n">
        <v>458200000</v>
      </c>
      <c r="N4" s="71">
        <f>L4+M4</f>
        <v/>
      </c>
      <c r="O4" s="66" t="n">
        <v>457300000</v>
      </c>
      <c r="P4" s="38" t="n"/>
      <c r="Q4" s="71">
        <f>O4+P4</f>
        <v/>
      </c>
      <c r="R4" s="76">
        <f>N4+Q4</f>
        <v/>
      </c>
      <c r="S4" s="29" t="n"/>
      <c r="T4" s="39">
        <f>L4/E4-1</f>
        <v/>
      </c>
      <c r="U4" s="39">
        <f>M4/F4-1</f>
        <v/>
      </c>
      <c r="V4" s="40">
        <f>N4/G4-1</f>
        <v/>
      </c>
      <c r="W4" s="57">
        <f>O4/H4-1</f>
        <v/>
      </c>
      <c r="X4" s="39" t="n"/>
      <c r="Y4" s="40" t="n"/>
      <c r="Z4" s="15" t="n"/>
    </row>
    <row r="5" ht="45" customFormat="1" customHeight="1" s="3">
      <c r="D5" s="52" t="inlineStr">
        <is>
          <t>Eliminações</t>
        </is>
      </c>
      <c r="E5" s="65">
        <f>E4-(E6+E9+E10)</f>
        <v/>
      </c>
      <c r="F5" s="65">
        <f>F4-(F6+F9+F10)</f>
        <v/>
      </c>
      <c r="G5" s="72">
        <f>G4-(G6+G9+G10)</f>
        <v/>
      </c>
      <c r="H5" s="65">
        <f>H4-(H6+H9+H10)</f>
        <v/>
      </c>
      <c r="I5" s="65">
        <f>I4-(I6+I9+I10)</f>
        <v/>
      </c>
      <c r="J5" s="72">
        <f>J4-(J6+J9+J10)</f>
        <v/>
      </c>
      <c r="K5" s="77">
        <f>K4-(K6+K9+K10)</f>
        <v/>
      </c>
      <c r="L5" s="65">
        <f>L4-(L6+L9+L10)</f>
        <v/>
      </c>
      <c r="M5" s="65">
        <f>M4-(M6+M9+M10)</f>
        <v/>
      </c>
      <c r="N5" s="72">
        <f>N4-(N6+N9+N10)</f>
        <v/>
      </c>
      <c r="O5" s="65">
        <f>O4-(O6+O9+O10)</f>
        <v/>
      </c>
      <c r="P5" s="53">
        <f>P4-(P6+P9+P10)</f>
        <v/>
      </c>
      <c r="Q5" s="72">
        <f>Q4-(Q6+Q9+Q10)</f>
        <v/>
      </c>
      <c r="R5" s="81">
        <f>R4-(R6+R9+R10)</f>
        <v/>
      </c>
      <c r="S5" s="53" t="n"/>
      <c r="T5" s="53" t="n"/>
      <c r="U5" s="53" t="n"/>
      <c r="V5" s="54" t="n"/>
      <c r="W5" s="53" t="n"/>
      <c r="X5" s="53" t="n"/>
      <c r="Y5" s="54" t="n"/>
      <c r="Z5" s="15" t="n"/>
    </row>
    <row r="6" ht="45" customFormat="1" customHeight="1" s="3">
      <c r="D6" s="32" t="inlineStr">
        <is>
          <t>Telco</t>
        </is>
      </c>
      <c r="E6" s="67">
        <f>E7+E8</f>
        <v/>
      </c>
      <c r="F6" s="67">
        <f>F7+F8</f>
        <v/>
      </c>
      <c r="G6" s="73">
        <f>E6+F6</f>
        <v/>
      </c>
      <c r="H6" s="67">
        <f>H7+H8</f>
        <v/>
      </c>
      <c r="I6" s="67">
        <f>I7+I8</f>
        <v/>
      </c>
      <c r="J6" s="73">
        <f>H6+I6</f>
        <v/>
      </c>
      <c r="K6" s="78">
        <f>G6+J6</f>
        <v/>
      </c>
      <c r="L6" s="67">
        <f>L7+L8</f>
        <v/>
      </c>
      <c r="M6" s="67">
        <f>M7+M8</f>
        <v/>
      </c>
      <c r="N6" s="73">
        <f>L6+M6</f>
        <v/>
      </c>
      <c r="O6" s="67">
        <f>O7+O8</f>
        <v/>
      </c>
      <c r="P6" s="7">
        <f>P7+P8</f>
        <v/>
      </c>
      <c r="Q6" s="73">
        <f>O6+P6</f>
        <v/>
      </c>
      <c r="R6" s="82">
        <f>N6+Q6</f>
        <v/>
      </c>
      <c r="S6" s="4" t="n"/>
      <c r="T6" s="46">
        <f>L6/E6-1</f>
        <v/>
      </c>
      <c r="U6" s="46">
        <f>M6/F6-1</f>
        <v/>
      </c>
      <c r="V6" s="47">
        <f>N6/G6-1</f>
        <v/>
      </c>
      <c r="W6" s="46">
        <f>O6/H6-1</f>
        <v/>
      </c>
      <c r="X6" s="46" t="n"/>
      <c r="Y6" s="47" t="n"/>
      <c r="Z6" s="15" t="n"/>
    </row>
    <row r="7" ht="45" customFormat="1" customHeight="1" s="3">
      <c r="D7" s="60" t="inlineStr">
        <is>
          <t>B2C</t>
        </is>
      </c>
      <c r="E7" s="68" t="n">
        <v>277600000</v>
      </c>
      <c r="F7" s="70" t="n">
        <v>282100000</v>
      </c>
      <c r="G7" s="74">
        <f>E7+F7</f>
        <v/>
      </c>
      <c r="H7" s="70" t="n">
        <v>289500000</v>
      </c>
      <c r="I7" s="70" t="n">
        <v>293300000</v>
      </c>
      <c r="J7" s="74">
        <f>H7+I7</f>
        <v/>
      </c>
      <c r="K7" s="79">
        <f>G7+J7</f>
        <v/>
      </c>
      <c r="L7" s="70" t="n">
        <v>282400000</v>
      </c>
      <c r="M7" s="70" t="n">
        <v>281300000</v>
      </c>
      <c r="N7" s="74">
        <f>L7+M7</f>
        <v/>
      </c>
      <c r="O7" s="70" t="n">
        <v>286100000</v>
      </c>
      <c r="P7" s="41" t="n"/>
      <c r="Q7" s="74">
        <f>O7+P7</f>
        <v/>
      </c>
      <c r="R7" s="83">
        <f>N7+Q7</f>
        <v/>
      </c>
      <c r="S7" s="42" t="n"/>
      <c r="T7" s="46">
        <f>L7/E7-1</f>
        <v/>
      </c>
      <c r="U7" s="46">
        <f>M7/F7-1</f>
        <v/>
      </c>
      <c r="V7" s="47">
        <f>N7/G7-1</f>
        <v/>
      </c>
      <c r="W7" s="58">
        <f>O7/H7-1</f>
        <v/>
      </c>
      <c r="X7" s="43" t="n"/>
      <c r="Y7" s="44" t="n"/>
      <c r="Z7" s="15" t="n"/>
    </row>
    <row r="8" ht="45" customFormat="1" customHeight="1" s="3">
      <c r="D8" s="60" t="inlineStr">
        <is>
          <t>B2B</t>
        </is>
      </c>
      <c r="E8" s="68" t="n">
        <v>98200000</v>
      </c>
      <c r="F8" s="70" t="n">
        <v>101200000</v>
      </c>
      <c r="G8" s="74">
        <f>E8+F8</f>
        <v/>
      </c>
      <c r="H8" s="70" t="n">
        <v>105100000</v>
      </c>
      <c r="I8" s="70" t="n">
        <v>121200000</v>
      </c>
      <c r="J8" s="74">
        <f>H8+I8</f>
        <v/>
      </c>
      <c r="K8" s="79">
        <f>G8+J8</f>
        <v/>
      </c>
      <c r="L8" s="70" t="n">
        <v>107200000</v>
      </c>
      <c r="M8" s="70" t="n">
        <v>111000000</v>
      </c>
      <c r="N8" s="74">
        <f>L8+M8</f>
        <v/>
      </c>
      <c r="O8" s="70" t="n">
        <v>109700000</v>
      </c>
      <c r="P8" s="41" t="n"/>
      <c r="Q8" s="74">
        <f>O8+P8</f>
        <v/>
      </c>
      <c r="R8" s="83">
        <f>N8+Q8</f>
        <v/>
      </c>
      <c r="S8" s="42" t="n"/>
      <c r="T8" s="46">
        <f>L8/E8-1</f>
        <v/>
      </c>
      <c r="U8" s="46">
        <f>M8/F8-1</f>
        <v/>
      </c>
      <c r="V8" s="47">
        <f>N8/G8-1</f>
        <v/>
      </c>
      <c r="W8" s="46">
        <f>O8/H8-1</f>
        <v/>
      </c>
      <c r="X8" s="43" t="n"/>
      <c r="Y8" s="44" t="n"/>
      <c r="Z8" s="15" t="n"/>
    </row>
    <row r="9" ht="45" customFormat="1" customHeight="1" s="3">
      <c r="D9" s="32" t="inlineStr">
        <is>
          <t>IT</t>
        </is>
      </c>
      <c r="E9" s="67" t="n">
        <v>13200000</v>
      </c>
      <c r="F9" s="67" t="n">
        <v>49700000</v>
      </c>
      <c r="G9" s="73">
        <f>E9+F9</f>
        <v/>
      </c>
      <c r="H9" s="67" t="n">
        <v>45400000</v>
      </c>
      <c r="I9" s="67" t="n">
        <v>53200000</v>
      </c>
      <c r="J9" s="73">
        <f>H9+I9</f>
        <v/>
      </c>
      <c r="K9" s="78">
        <f>G9+J9</f>
        <v/>
      </c>
      <c r="L9" s="67" t="n">
        <v>17100000</v>
      </c>
      <c r="M9" s="67" t="n">
        <v>49300000</v>
      </c>
      <c r="N9" s="73">
        <f>L9+M9</f>
        <v/>
      </c>
      <c r="O9" s="67" t="n">
        <v>45200000</v>
      </c>
      <c r="P9" s="7" t="n"/>
      <c r="Q9" s="73">
        <f>O9+P9</f>
        <v/>
      </c>
      <c r="R9" s="82">
        <f>N9+Q9</f>
        <v/>
      </c>
      <c r="S9" s="4" t="n"/>
      <c r="T9" s="46">
        <f>L9/E9-1</f>
        <v/>
      </c>
      <c r="U9" s="58">
        <f>M9/F9-1</f>
        <v/>
      </c>
      <c r="V9" s="47">
        <f>N9/G9-1</f>
        <v/>
      </c>
      <c r="W9" s="46">
        <f>O9/H9-1</f>
        <v/>
      </c>
      <c r="X9" s="8" t="n"/>
      <c r="Y9" s="17" t="n"/>
      <c r="Z9" s="15" t="n"/>
    </row>
    <row r="10" ht="45" customFormat="1" customHeight="1" s="3" thickBot="1">
      <c r="C10" s="155" t="n"/>
      <c r="D10" s="33" t="inlineStr">
        <is>
          <t>Cinema</t>
        </is>
      </c>
      <c r="E10" s="69" t="n">
        <v>22800000</v>
      </c>
      <c r="F10" s="69" t="n">
        <v>19700000</v>
      </c>
      <c r="G10" s="75">
        <f>E10+F10</f>
        <v/>
      </c>
      <c r="H10" s="69" t="n">
        <v>32700000</v>
      </c>
      <c r="I10" s="69" t="n">
        <v>27100000</v>
      </c>
      <c r="J10" s="75">
        <f>H10+I10</f>
        <v/>
      </c>
      <c r="K10" s="80">
        <f>G10+J10</f>
        <v/>
      </c>
      <c r="L10" s="69" t="n">
        <v>23100000</v>
      </c>
      <c r="M10" s="69" t="n">
        <v>25800000</v>
      </c>
      <c r="N10" s="75">
        <f>L10+M10</f>
        <v/>
      </c>
      <c r="O10" s="69" t="n">
        <v>25900000</v>
      </c>
      <c r="P10" s="10" t="n"/>
      <c r="Q10" s="75">
        <f>O10+P10</f>
        <v/>
      </c>
      <c r="R10" s="84">
        <f>N10+Q10</f>
        <v/>
      </c>
      <c r="S10" s="11" t="n"/>
      <c r="T10" s="56">
        <f>L10/E10-1</f>
        <v/>
      </c>
      <c r="U10" s="56">
        <f>M10/F10-1</f>
        <v/>
      </c>
      <c r="V10" s="55">
        <f>N10/G10-1</f>
        <v/>
      </c>
      <c r="W10" s="59">
        <f>O10/H10-1</f>
        <v/>
      </c>
      <c r="X10" s="12" t="n"/>
      <c r="Y10" s="14" t="n"/>
      <c r="Z10" s="16" t="n"/>
    </row>
    <row r="11" ht="45" customFormat="1" customHeight="1" s="3" thickTop="1"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45" customFormat="1" customHeight="1" s="3">
      <c r="C12" s="111" t="inlineStr">
        <is>
          <t>Revenue weight (%)</t>
        </is>
      </c>
      <c r="D12" s="32" t="inlineStr">
        <is>
          <t>Telco</t>
        </is>
      </c>
      <c r="E12" s="8">
        <f>E6/(E$4-E$5)</f>
        <v/>
      </c>
      <c r="F12" s="8">
        <f>F6/(F$4-F$5)</f>
        <v/>
      </c>
      <c r="G12" s="17">
        <f>G6/(G$4-G$5)</f>
        <v/>
      </c>
      <c r="H12" s="8">
        <f>H6/(H$4-H$5)</f>
        <v/>
      </c>
      <c r="I12" s="8">
        <f>I6/(I$4-I$5)</f>
        <v/>
      </c>
      <c r="J12" s="17">
        <f>J6/(J$4-J$5)</f>
        <v/>
      </c>
      <c r="K12" s="64">
        <f>K6/(K$4-K$5)</f>
        <v/>
      </c>
      <c r="L12" s="8">
        <f>L6/(L$4-L$5)</f>
        <v/>
      </c>
      <c r="M12" s="8">
        <f>M6/(M$4-M$5)</f>
        <v/>
      </c>
      <c r="N12" s="17">
        <f>N6/(N$4-N$5)</f>
        <v/>
      </c>
      <c r="O12" s="8">
        <f>O6/(O$4-O$5)</f>
        <v/>
      </c>
      <c r="P12" s="8" t="n"/>
      <c r="Q12" s="17">
        <f>Q6/(Q$4-Q$5)</f>
        <v/>
      </c>
      <c r="R12" s="64">
        <f>R6/(R$4-R$5)</f>
        <v/>
      </c>
      <c r="S12" s="8" t="n"/>
      <c r="T12" s="1" t="n"/>
      <c r="U12" s="1" t="n"/>
      <c r="V12" s="1" t="n"/>
      <c r="W12" s="1" t="n"/>
      <c r="X12" s="1" t="n"/>
      <c r="Y12" s="1" t="n"/>
      <c r="Z12" s="1" t="n"/>
    </row>
    <row r="13" ht="45" customFormat="1" customHeight="1" s="3">
      <c r="D13" s="60" t="inlineStr">
        <is>
          <t>B2C</t>
        </is>
      </c>
      <c r="E13" s="61">
        <f>E7/E6</f>
        <v/>
      </c>
      <c r="F13" s="61">
        <f>F7/F6</f>
        <v/>
      </c>
      <c r="G13" s="62">
        <f>G7/G6</f>
        <v/>
      </c>
      <c r="H13" s="61">
        <f>H7/H6</f>
        <v/>
      </c>
      <c r="I13" s="61">
        <f>I7/I6</f>
        <v/>
      </c>
      <c r="J13" s="62">
        <f>J7/J6</f>
        <v/>
      </c>
      <c r="K13" s="63">
        <f>K7/K6</f>
        <v/>
      </c>
      <c r="L13" s="61">
        <f>L7/L6</f>
        <v/>
      </c>
      <c r="M13" s="61">
        <f>M7/M6</f>
        <v/>
      </c>
      <c r="N13" s="62">
        <f>N7/N6</f>
        <v/>
      </c>
      <c r="O13" s="61">
        <f>O7/O6</f>
        <v/>
      </c>
      <c r="P13" s="61" t="n"/>
      <c r="Q13" s="62">
        <f>Q7/Q6</f>
        <v/>
      </c>
      <c r="R13" s="63">
        <f>R7/R6</f>
        <v/>
      </c>
      <c r="S13" s="43" t="n"/>
      <c r="T13" s="1" t="n"/>
      <c r="U13" s="1" t="n"/>
      <c r="V13" s="1" t="n"/>
      <c r="W13" s="1" t="n"/>
      <c r="X13" s="1" t="n"/>
      <c r="Y13" s="1" t="n"/>
      <c r="Z13" s="1" t="n"/>
    </row>
    <row r="14" ht="45" customFormat="1" customHeight="1" s="3">
      <c r="D14" s="60" t="inlineStr">
        <is>
          <t>B2B</t>
        </is>
      </c>
      <c r="E14" s="61">
        <f>E8/E6</f>
        <v/>
      </c>
      <c r="F14" s="61">
        <f>F8/F6</f>
        <v/>
      </c>
      <c r="G14" s="62">
        <f>G8/G6</f>
        <v/>
      </c>
      <c r="H14" s="61">
        <f>H8/H6</f>
        <v/>
      </c>
      <c r="I14" s="61">
        <f>I8/I6</f>
        <v/>
      </c>
      <c r="J14" s="62">
        <f>J8/J6</f>
        <v/>
      </c>
      <c r="K14" s="63">
        <f>K8/K6</f>
        <v/>
      </c>
      <c r="L14" s="61">
        <f>L8/L6</f>
        <v/>
      </c>
      <c r="M14" s="61">
        <f>M8/M6</f>
        <v/>
      </c>
      <c r="N14" s="62">
        <f>N8/N6</f>
        <v/>
      </c>
      <c r="O14" s="61">
        <f>O8/O6</f>
        <v/>
      </c>
      <c r="P14" s="61" t="n"/>
      <c r="Q14" s="62">
        <f>Q8/Q6</f>
        <v/>
      </c>
      <c r="R14" s="63">
        <f>R8/R6</f>
        <v/>
      </c>
      <c r="S14" s="43" t="n"/>
      <c r="T14" s="1" t="n"/>
      <c r="U14" s="1" t="n"/>
      <c r="V14" s="1" t="n"/>
      <c r="W14" s="1" t="n"/>
      <c r="X14" s="1" t="n"/>
      <c r="Y14" s="1" t="n"/>
      <c r="Z14" s="1" t="n"/>
    </row>
    <row r="15" ht="45" customFormat="1" customHeight="1" s="3">
      <c r="D15" s="32" t="inlineStr">
        <is>
          <t>IT</t>
        </is>
      </c>
      <c r="E15" s="8">
        <f>E9/(E$4-E$5)</f>
        <v/>
      </c>
      <c r="F15" s="8">
        <f>F9/(F$4-F$5)</f>
        <v/>
      </c>
      <c r="G15" s="17">
        <f>G9/(G$4-G$5)</f>
        <v/>
      </c>
      <c r="H15" s="8">
        <f>H9/(H$4-H$5)</f>
        <v/>
      </c>
      <c r="I15" s="8">
        <f>I9/(I$4-I$5)</f>
        <v/>
      </c>
      <c r="J15" s="17">
        <f>J9/(J$4-J$5)</f>
        <v/>
      </c>
      <c r="K15" s="64">
        <f>K9/(K$4-K$5)</f>
        <v/>
      </c>
      <c r="L15" s="8">
        <f>L9/(L$4-L$5)</f>
        <v/>
      </c>
      <c r="M15" s="8">
        <f>M9/(M$4-M$5)</f>
        <v/>
      </c>
      <c r="N15" s="17">
        <f>N9/(N$4-N$5)</f>
        <v/>
      </c>
      <c r="O15" s="8">
        <f>O9/(O$4-O$5)</f>
        <v/>
      </c>
      <c r="P15" s="8" t="n"/>
      <c r="Q15" s="17">
        <f>Q9/(Q$4-Q$5)</f>
        <v/>
      </c>
      <c r="R15" s="64">
        <f>R9/(R$4-R$5)</f>
        <v/>
      </c>
      <c r="S15" s="8" t="n"/>
      <c r="T15" s="1" t="n"/>
      <c r="U15" s="1" t="n"/>
      <c r="V15" s="1" t="n"/>
      <c r="W15" s="1" t="n"/>
      <c r="X15" s="1" t="n"/>
      <c r="Y15" s="1" t="n"/>
      <c r="Z15" s="1" t="n"/>
    </row>
    <row r="16" ht="45" customFormat="1" customHeight="1" s="3" thickBot="1">
      <c r="C16" s="155" t="n"/>
      <c r="D16" s="33" t="inlineStr">
        <is>
          <t>Cinema</t>
        </is>
      </c>
      <c r="E16" s="12">
        <f>E10/(E$4-E$5)</f>
        <v/>
      </c>
      <c r="F16" s="12">
        <f>F10/(F$4-F$5)</f>
        <v/>
      </c>
      <c r="G16" s="14">
        <f>G10/(G$4-G$5)</f>
        <v/>
      </c>
      <c r="H16" s="12">
        <f>H10/(H$4-H$5)</f>
        <v/>
      </c>
      <c r="I16" s="12">
        <f>I10/(I$4-I$5)</f>
        <v/>
      </c>
      <c r="J16" s="14">
        <f>J10/(J$4-J$5)</f>
        <v/>
      </c>
      <c r="K16" s="51">
        <f>K10/(K$4-K$5)</f>
        <v/>
      </c>
      <c r="L16" s="12">
        <f>L10/(L$4-L$5)</f>
        <v/>
      </c>
      <c r="M16" s="12">
        <f>M10/(M$4-M$5)</f>
        <v/>
      </c>
      <c r="N16" s="14">
        <f>N10/(N$4-N$5)</f>
        <v/>
      </c>
      <c r="O16" s="12">
        <f>O10/(O$4-O$5)</f>
        <v/>
      </c>
      <c r="P16" s="12" t="n"/>
      <c r="Q16" s="14">
        <f>Q10/(Q$4-Q$5)</f>
        <v/>
      </c>
      <c r="R16" s="51">
        <f>R10/(R$4-R$5)</f>
        <v/>
      </c>
      <c r="S16" s="8" t="n"/>
      <c r="T16" s="1" t="n"/>
      <c r="U16" s="1" t="n"/>
      <c r="V16" s="1" t="n"/>
      <c r="W16" s="1" t="n"/>
      <c r="X16" s="1" t="n"/>
      <c r="Y16" s="1" t="n"/>
      <c r="Z16" s="1" t="n"/>
    </row>
    <row r="17" ht="45" customFormat="1" customHeight="1" s="3" thickTop="1">
      <c r="C17" s="45" t="n"/>
      <c r="D17" s="32" t="n"/>
      <c r="E17" s="8" t="n"/>
      <c r="F17" s="8" t="n"/>
      <c r="G17" s="88" t="n"/>
      <c r="H17" s="8" t="n"/>
      <c r="I17" s="8" t="n"/>
      <c r="J17" s="88" t="n"/>
      <c r="K17" s="49" t="n"/>
      <c r="L17" s="8" t="n"/>
      <c r="M17" s="8" t="n"/>
      <c r="N17" s="88" t="n"/>
      <c r="O17" s="8" t="n"/>
      <c r="P17" s="8" t="n"/>
      <c r="Q17" s="88" t="n"/>
      <c r="R17" s="49" t="n"/>
      <c r="S17" s="8" t="n"/>
      <c r="T17" s="8" t="n"/>
      <c r="U17" s="8" t="n"/>
      <c r="V17" s="8" t="n"/>
      <c r="W17" s="27" t="n"/>
      <c r="X17" s="8" t="n"/>
      <c r="Y17" s="8" t="n"/>
      <c r="Z17" s="8" t="n"/>
    </row>
    <row r="18" ht="45" customFormat="1" customHeight="1" s="3">
      <c r="C18" s="45" t="n"/>
      <c r="D18" s="32" t="n"/>
      <c r="E18" s="7" t="n"/>
      <c r="F18" s="7" t="n"/>
      <c r="G18" s="28" t="n"/>
      <c r="H18" s="7" t="n"/>
      <c r="I18" s="7" t="n"/>
      <c r="J18" s="28" t="n"/>
      <c r="K18" s="50" t="n"/>
      <c r="L18" s="7" t="n"/>
      <c r="M18" s="7" t="n"/>
      <c r="N18" s="28" t="n"/>
      <c r="O18" s="7" t="n"/>
      <c r="P18" s="7" t="n"/>
      <c r="Q18" s="28" t="n"/>
      <c r="R18" s="50" t="n"/>
      <c r="S18" s="4" t="n"/>
      <c r="T18" s="8" t="n"/>
      <c r="U18" s="8" t="n"/>
      <c r="V18" s="8" t="n"/>
      <c r="W18" s="27" t="n"/>
      <c r="X18" s="8" t="n"/>
      <c r="Y18" s="8" t="n"/>
      <c r="Z18" s="8" t="n"/>
    </row>
    <row r="19" ht="45" customFormat="1" customHeight="1" s="3">
      <c r="C19" s="109" t="inlineStr">
        <is>
          <t>EBITDA €</t>
        </is>
      </c>
      <c r="D19" s="6" t="inlineStr">
        <is>
          <t>Total</t>
        </is>
      </c>
      <c r="E19" s="85" t="n">
        <v>184500000</v>
      </c>
      <c r="F19" s="85" t="n">
        <v>191500000</v>
      </c>
      <c r="G19" s="86">
        <f>E19+F19</f>
        <v/>
      </c>
      <c r="H19" s="85" t="n">
        <v>216900000</v>
      </c>
      <c r="I19" s="85" t="n">
        <v>187300000</v>
      </c>
      <c r="J19" s="86">
        <f>H19+I19</f>
        <v/>
      </c>
      <c r="K19" s="76">
        <f>G19+J19</f>
        <v/>
      </c>
      <c r="L19" s="85" t="n">
        <v>192300000</v>
      </c>
      <c r="M19" s="85" t="n">
        <v>202900000</v>
      </c>
      <c r="N19" s="86">
        <f>L19+M19</f>
        <v/>
      </c>
      <c r="O19" s="85" t="n">
        <v>222700000</v>
      </c>
      <c r="P19" s="85" t="n"/>
      <c r="Q19" s="86">
        <f>O19+P19</f>
        <v/>
      </c>
      <c r="R19" s="76">
        <f>N19+Q19</f>
        <v/>
      </c>
      <c r="S19" s="29" t="n"/>
      <c r="T19" s="39">
        <f>L19/E19-1</f>
        <v/>
      </c>
      <c r="U19" s="39">
        <f>M19/F19-1</f>
        <v/>
      </c>
      <c r="V19" s="40">
        <f>N19/G19-1</f>
        <v/>
      </c>
      <c r="W19" s="39">
        <f>O19/H19-1</f>
        <v/>
      </c>
      <c r="X19" s="88" t="n"/>
      <c r="Y19" s="89" t="n"/>
      <c r="Z19" s="15" t="n"/>
    </row>
    <row r="20" ht="45" customFormat="1" customHeight="1" s="3">
      <c r="D20" s="32" t="inlineStr">
        <is>
          <t>Telco</t>
        </is>
      </c>
      <c r="E20" s="67" t="n">
        <v>172100000</v>
      </c>
      <c r="F20" s="67" t="n">
        <v>177300000</v>
      </c>
      <c r="G20" s="90">
        <f>E20+F20</f>
        <v/>
      </c>
      <c r="H20" s="91" t="n">
        <v>196400000</v>
      </c>
      <c r="I20" s="91" t="n">
        <v>169000000</v>
      </c>
      <c r="J20" s="90">
        <f>H20+I20</f>
        <v/>
      </c>
      <c r="K20" s="82">
        <f>G20+J20</f>
        <v/>
      </c>
      <c r="L20" s="91" t="n">
        <v>179600000</v>
      </c>
      <c r="M20" s="91" t="n">
        <v>184700000</v>
      </c>
      <c r="N20" s="90">
        <f>L20+M20</f>
        <v/>
      </c>
      <c r="O20" s="91" t="n">
        <v>204800000</v>
      </c>
      <c r="P20" s="91" t="n"/>
      <c r="Q20" s="90">
        <f>O20+P20</f>
        <v/>
      </c>
      <c r="R20" s="82">
        <f>N20+Q20</f>
        <v/>
      </c>
      <c r="S20" s="29" t="n"/>
      <c r="T20" s="46">
        <f>L20/E20-1</f>
        <v/>
      </c>
      <c r="U20" s="46">
        <f>M20/F20-1</f>
        <v/>
      </c>
      <c r="V20" s="47">
        <f>N20/G20-1</f>
        <v/>
      </c>
      <c r="W20" s="46">
        <f>O20/H20-1</f>
        <v/>
      </c>
      <c r="X20" s="88" t="n"/>
      <c r="Y20" s="89" t="n"/>
      <c r="Z20" s="15" t="n"/>
    </row>
    <row r="21" ht="45" customFormat="1" customHeight="1" s="3">
      <c r="D21" s="32" t="inlineStr">
        <is>
          <t>IT</t>
        </is>
      </c>
      <c r="E21" s="67" t="n">
        <v>1700000</v>
      </c>
      <c r="F21" s="67" t="n">
        <v>5500000</v>
      </c>
      <c r="G21" s="90">
        <f>E21+F21</f>
        <v/>
      </c>
      <c r="H21" s="91" t="n">
        <v>5300000</v>
      </c>
      <c r="I21" s="91" t="n">
        <v>6100000</v>
      </c>
      <c r="J21" s="90">
        <f>H21+I21</f>
        <v/>
      </c>
      <c r="K21" s="82">
        <f>G21+J21</f>
        <v/>
      </c>
      <c r="L21" s="91" t="n">
        <v>1900000</v>
      </c>
      <c r="M21" s="91" t="n">
        <v>6500000</v>
      </c>
      <c r="N21" s="90">
        <f>L21+M21</f>
        <v/>
      </c>
      <c r="O21" s="91" t="n">
        <v>5900000</v>
      </c>
      <c r="P21" s="91" t="n"/>
      <c r="Q21" s="90">
        <f>O21+P21</f>
        <v/>
      </c>
      <c r="R21" s="82">
        <f>N21+Q21</f>
        <v/>
      </c>
      <c r="S21" s="4" t="n"/>
      <c r="T21" s="46">
        <f>L21/E21-1</f>
        <v/>
      </c>
      <c r="U21" s="46">
        <f>M21/F21-1</f>
        <v/>
      </c>
      <c r="V21" s="47">
        <f>N21/G21-1</f>
        <v/>
      </c>
      <c r="W21" s="46">
        <f>O21/H21-1</f>
        <v/>
      </c>
      <c r="X21" s="8" t="n"/>
      <c r="Y21" s="17" t="n"/>
      <c r="Z21" s="15" t="n"/>
    </row>
    <row r="22" ht="45" customFormat="1" customHeight="1" s="3" thickBot="1">
      <c r="C22" s="155" t="n"/>
      <c r="D22" s="33" t="inlineStr">
        <is>
          <t>Cinema</t>
        </is>
      </c>
      <c r="E22" s="69" t="n">
        <v>10600000</v>
      </c>
      <c r="F22" s="69" t="n">
        <v>8700000</v>
      </c>
      <c r="G22" s="48">
        <f>E22+F22</f>
        <v/>
      </c>
      <c r="H22" s="92" t="n">
        <v>15200000</v>
      </c>
      <c r="I22" s="92" t="n">
        <v>12200000</v>
      </c>
      <c r="J22" s="48">
        <f>H22+I22</f>
        <v/>
      </c>
      <c r="K22" s="84">
        <f>G22+J22</f>
        <v/>
      </c>
      <c r="L22" s="92" t="n">
        <v>10900000</v>
      </c>
      <c r="M22" s="92" t="n">
        <v>11700000</v>
      </c>
      <c r="N22" s="48">
        <f>L22+M22</f>
        <v/>
      </c>
      <c r="O22" s="92" t="n">
        <v>12000000</v>
      </c>
      <c r="P22" s="92" t="n"/>
      <c r="Q22" s="48">
        <f>O22+P22</f>
        <v/>
      </c>
      <c r="R22" s="84">
        <f>N22+Q22</f>
        <v/>
      </c>
      <c r="S22" s="11" t="n"/>
      <c r="T22" s="56">
        <f>L22/E22-1</f>
        <v/>
      </c>
      <c r="U22" s="56">
        <f>M22/F22-1</f>
        <v/>
      </c>
      <c r="V22" s="55">
        <f>N22/G22-1</f>
        <v/>
      </c>
      <c r="W22" s="59">
        <f>O22/H22-1</f>
        <v/>
      </c>
      <c r="X22" s="12" t="n"/>
      <c r="Y22" s="14" t="n"/>
      <c r="Z22" s="16" t="n"/>
    </row>
    <row r="23" ht="45" customFormat="1" customHeight="1" s="3" thickTop="1"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45" customFormat="1" customHeight="1" s="3"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45" customFormat="1" customHeight="1" s="3">
      <c r="C25" s="113" t="inlineStr">
        <is>
          <t>EBITDA %</t>
        </is>
      </c>
      <c r="D25" s="6" t="inlineStr">
        <is>
          <t>Total</t>
        </is>
      </c>
      <c r="E25" s="88">
        <f>E19/E4</f>
        <v/>
      </c>
      <c r="F25" s="88">
        <f>F19/F4</f>
        <v/>
      </c>
      <c r="G25" s="89">
        <f>G19/G4</f>
        <v/>
      </c>
      <c r="H25" s="88">
        <f>H19/H4</f>
        <v/>
      </c>
      <c r="I25" s="88">
        <f>I19/I4</f>
        <v/>
      </c>
      <c r="J25" s="89">
        <f>J19/J4</f>
        <v/>
      </c>
      <c r="K25" s="94">
        <f>K19/K4</f>
        <v/>
      </c>
      <c r="L25" s="88">
        <f>L19/L4</f>
        <v/>
      </c>
      <c r="M25" s="88">
        <f>M19/M4</f>
        <v/>
      </c>
      <c r="N25" s="89">
        <f>N19/N4</f>
        <v/>
      </c>
      <c r="O25" s="88">
        <f>O19/O4</f>
        <v/>
      </c>
      <c r="P25" s="88" t="n"/>
      <c r="Q25" s="89">
        <f>Q19/Q4</f>
        <v/>
      </c>
      <c r="R25" s="94">
        <f>R19/R4</f>
        <v/>
      </c>
      <c r="S25" s="8" t="n"/>
      <c r="T25" s="39">
        <f>L25-E25</f>
        <v/>
      </c>
      <c r="U25" s="39">
        <f>M25-F25</f>
        <v/>
      </c>
      <c r="V25" s="40">
        <f>N25-G25</f>
        <v/>
      </c>
      <c r="W25" s="39">
        <f>O25-H25</f>
        <v/>
      </c>
      <c r="X25" s="8" t="n"/>
      <c r="Y25" s="22" t="n"/>
      <c r="Z25" s="23" t="n"/>
    </row>
    <row r="26" ht="45" customFormat="1" customHeight="1" s="3">
      <c r="D26" s="32" t="inlineStr">
        <is>
          <t>Telco</t>
        </is>
      </c>
      <c r="E26" s="18">
        <f>E20/E6</f>
        <v/>
      </c>
      <c r="F26" s="18">
        <f>F20/F6</f>
        <v/>
      </c>
      <c r="G26" s="19">
        <f>G20/G6</f>
        <v/>
      </c>
      <c r="H26" s="18">
        <f>H20/H6</f>
        <v/>
      </c>
      <c r="I26" s="18">
        <f>I20/I6</f>
        <v/>
      </c>
      <c r="J26" s="19">
        <f>J20/J6</f>
        <v/>
      </c>
      <c r="K26" s="95">
        <f>K20/K6</f>
        <v/>
      </c>
      <c r="L26" s="18">
        <f>L20/L6</f>
        <v/>
      </c>
      <c r="M26" s="18">
        <f>M20/M6</f>
        <v/>
      </c>
      <c r="N26" s="19">
        <f>N20/N6</f>
        <v/>
      </c>
      <c r="O26" s="18">
        <f>O20/O6</f>
        <v/>
      </c>
      <c r="P26" s="18" t="n"/>
      <c r="Q26" s="19">
        <f>Q20/Q6</f>
        <v/>
      </c>
      <c r="R26" s="95">
        <f>R20/R6</f>
        <v/>
      </c>
      <c r="S26" s="18" t="n"/>
      <c r="T26" s="8">
        <f>L26-E26</f>
        <v/>
      </c>
      <c r="U26" s="8">
        <f>M26-F26</f>
        <v/>
      </c>
      <c r="V26" s="17">
        <f>N26-G26</f>
        <v/>
      </c>
      <c r="W26" s="8">
        <f>O26-H26</f>
        <v/>
      </c>
      <c r="X26" s="21" t="n"/>
      <c r="Y26" s="22" t="n"/>
      <c r="Z26" s="23" t="n"/>
    </row>
    <row r="27" ht="45" customFormat="1" customHeight="1" s="3">
      <c r="D27" s="32" t="inlineStr">
        <is>
          <t>IT</t>
        </is>
      </c>
      <c r="E27" s="18">
        <f>E21/E9</f>
        <v/>
      </c>
      <c r="F27" s="18">
        <f>F21/F9</f>
        <v/>
      </c>
      <c r="G27" s="19">
        <f>G21/G9</f>
        <v/>
      </c>
      <c r="H27" s="18">
        <f>H21/H9</f>
        <v/>
      </c>
      <c r="I27" s="18">
        <f>I21/I9</f>
        <v/>
      </c>
      <c r="J27" s="19">
        <f>J21/J9</f>
        <v/>
      </c>
      <c r="K27" s="95">
        <f>K21/K9</f>
        <v/>
      </c>
      <c r="L27" s="18">
        <f>L21/L9</f>
        <v/>
      </c>
      <c r="M27" s="18">
        <f>M21/M9</f>
        <v/>
      </c>
      <c r="N27" s="19">
        <f>N21/N9</f>
        <v/>
      </c>
      <c r="O27" s="18">
        <f>O21/O9</f>
        <v/>
      </c>
      <c r="P27" s="18" t="n"/>
      <c r="Q27" s="19">
        <f>Q21/Q9</f>
        <v/>
      </c>
      <c r="R27" s="95">
        <f>R21/R9</f>
        <v/>
      </c>
      <c r="S27" s="18" t="n"/>
      <c r="T27" s="8">
        <f>L27-E27</f>
        <v/>
      </c>
      <c r="U27" s="8">
        <f>M27-F27</f>
        <v/>
      </c>
      <c r="V27" s="17">
        <f>N27-G27</f>
        <v/>
      </c>
      <c r="W27" s="8">
        <f>O27-H27</f>
        <v/>
      </c>
      <c r="X27" s="21" t="n"/>
      <c r="Y27" s="22" t="n"/>
      <c r="Z27" s="23" t="n"/>
    </row>
    <row r="28" ht="45" customFormat="1" customHeight="1" s="3" thickBot="1">
      <c r="C28" s="156" t="n"/>
      <c r="D28" s="33" t="inlineStr">
        <is>
          <t>Cinema</t>
        </is>
      </c>
      <c r="E28" s="20">
        <f>E22/E10</f>
        <v/>
      </c>
      <c r="F28" s="20">
        <f>F22/F10</f>
        <v/>
      </c>
      <c r="G28" s="93">
        <f>G22/G10</f>
        <v/>
      </c>
      <c r="H28" s="20">
        <f>H22/H10</f>
        <v/>
      </c>
      <c r="I28" s="20">
        <f>I22/I10</f>
        <v/>
      </c>
      <c r="J28" s="93">
        <f>J22/J10</f>
        <v/>
      </c>
      <c r="K28" s="96">
        <f>K22/K10</f>
        <v/>
      </c>
      <c r="L28" s="20">
        <f>L22/L10</f>
        <v/>
      </c>
      <c r="M28" s="20">
        <f>M22/M10</f>
        <v/>
      </c>
      <c r="N28" s="93">
        <f>N22/N10</f>
        <v/>
      </c>
      <c r="O28" s="20">
        <f>O22/O10</f>
        <v/>
      </c>
      <c r="P28" s="20" t="n"/>
      <c r="Q28" s="93">
        <f>Q22/Q10</f>
        <v/>
      </c>
      <c r="R28" s="96">
        <f>R22/R10</f>
        <v/>
      </c>
      <c r="S28" s="20" t="n"/>
      <c r="T28" s="12">
        <f>L28-E28</f>
        <v/>
      </c>
      <c r="U28" s="12">
        <f>M28-F28</f>
        <v/>
      </c>
      <c r="V28" s="14">
        <f>N28-G28</f>
        <v/>
      </c>
      <c r="W28" s="12">
        <f>O28-H28</f>
        <v/>
      </c>
      <c r="X28" s="24" t="n"/>
      <c r="Y28" s="25" t="n"/>
      <c r="Z28" s="26" t="n"/>
    </row>
    <row r="29" ht="45" customFormat="1" customHeight="1" s="3" thickTop="1">
      <c r="C29" s="97" t="n"/>
      <c r="D29" s="32" t="n"/>
      <c r="E29" s="98" t="n"/>
      <c r="F29" s="98" t="n"/>
      <c r="G29" s="99" t="n"/>
      <c r="H29" s="98" t="n"/>
      <c r="I29" s="98" t="n"/>
      <c r="J29" s="99" t="n"/>
      <c r="K29" s="100" t="n"/>
      <c r="L29" s="98" t="n"/>
      <c r="M29" s="98" t="n"/>
      <c r="N29" s="99" t="n"/>
      <c r="O29" s="98" t="n"/>
      <c r="P29" s="98" t="n"/>
      <c r="Q29" s="99" t="n"/>
      <c r="R29" s="100" t="n"/>
      <c r="S29" s="98" t="n"/>
      <c r="T29" s="101" t="n"/>
      <c r="U29" s="101" t="n"/>
      <c r="V29" s="101" t="n"/>
      <c r="W29" s="102" t="n"/>
      <c r="X29" s="103" t="n"/>
      <c r="Y29" s="103" t="n"/>
      <c r="Z29" s="103" t="n"/>
    </row>
    <row r="30" ht="45" customFormat="1" customHeight="1" s="3"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45" customFormat="1" customHeight="1" s="3" thickBot="1">
      <c r="C31" s="107" t="inlineStr">
        <is>
          <t>CAPEX</t>
        </is>
      </c>
      <c r="D31" s="9" t="inlineStr">
        <is>
          <t>Total</t>
        </is>
      </c>
      <c r="E31" s="92" t="n">
        <v>105500000</v>
      </c>
      <c r="F31" s="92" t="n">
        <v>111000000</v>
      </c>
      <c r="G31" s="104">
        <f>E31+F31</f>
        <v/>
      </c>
      <c r="H31" s="92" t="n">
        <v>118400000</v>
      </c>
      <c r="I31" s="92" t="n">
        <v>122200000</v>
      </c>
      <c r="J31" s="104">
        <f>H31+I31</f>
        <v/>
      </c>
      <c r="K31" s="105">
        <f>G31+J31</f>
        <v/>
      </c>
      <c r="L31" s="92" t="n">
        <v>107000000</v>
      </c>
      <c r="M31" s="92" t="n">
        <v>120700000</v>
      </c>
      <c r="N31" s="104">
        <f>L31+M31</f>
        <v/>
      </c>
      <c r="O31" s="92" t="n">
        <v>112600000</v>
      </c>
      <c r="P31" s="92" t="n"/>
      <c r="Q31" s="104">
        <f>O31+P31</f>
        <v/>
      </c>
      <c r="R31" s="105">
        <f>N31+Q31</f>
        <v/>
      </c>
      <c r="S31" s="34" t="n"/>
      <c r="T31" s="56">
        <f>L31/E31-1</f>
        <v/>
      </c>
      <c r="U31" s="56">
        <f>M31/F31-1</f>
        <v/>
      </c>
      <c r="V31" s="55">
        <f>N31/G31-1</f>
        <v/>
      </c>
      <c r="W31" s="59">
        <f>O31/H31-1</f>
        <v/>
      </c>
      <c r="X31" s="35" t="n"/>
      <c r="Y31" s="36" t="n"/>
      <c r="Z31" s="16" t="n"/>
    </row>
    <row r="32" ht="45" customFormat="1" customHeight="1" s="3" thickTop="1"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45" customFormat="1" customHeight="1" s="3"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45" customFormat="1" customHeight="1" s="3">
      <c r="C34" s="106" t="inlineStr">
        <is>
          <t>Operational KPI's</t>
        </is>
      </c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6" customFormat="1" customHeight="1" s="3">
      <c r="A35" s="195" t="inlineStr">
        <is>
          <t>Quota Mercado</t>
        </is>
      </c>
      <c r="B35" s="195" t="inlineStr">
        <is>
          <t>Receitas retalhistas (ANACOM) 🟡</t>
        </is>
      </c>
      <c r="C35" s="196" t="n">
        <v>0.315</v>
      </c>
      <c r="D35" s="196" t="n">
        <v>0.316</v>
      </c>
      <c r="E35" s="196" t="n">
        <v>0.316</v>
      </c>
      <c r="F35" s="196" t="n">
        <v>0.316</v>
      </c>
      <c r="G35" s="196" t="n">
        <v>0.317</v>
      </c>
      <c r="H35" s="196" t="n">
        <v>0.317</v>
      </c>
      <c r="I35" s="196" t="n">
        <v>0.317</v>
      </c>
      <c r="J35" s="196" t="n">
        <v>0.315</v>
      </c>
      <c r="K35" s="196" t="n">
        <v>0.316</v>
      </c>
      <c r="L35" s="196" t="n">
        <v>0.316</v>
      </c>
      <c r="M35" s="196" t="n">
        <v>0.316</v>
      </c>
      <c r="N35" s="202" t="n"/>
      <c r="O35" s="202" t="n"/>
      <c r="P35" s="202" t="n"/>
      <c r="Q35" s="198" t="n">
        <v>0</v>
      </c>
      <c r="R35" s="198" t="n">
        <v>0</v>
      </c>
      <c r="S35" s="198" t="n">
        <v>0</v>
      </c>
      <c r="T35" s="198" t="n">
        <v>0</v>
      </c>
      <c r="U35" s="203" t="n"/>
      <c r="V35" s="203" t="n"/>
      <c r="W35" s="203" t="n"/>
      <c r="X35" s="4" t="n"/>
      <c r="Y35" s="4" t="n"/>
      <c r="Z35" s="4" t="n"/>
    </row>
    <row r="36" ht="20" customFormat="1" customHeight="1" s="3">
      <c r="A36" s="154" t="inlineStr">
        <is>
          <t>🟡 Quota de receitas retalhistas totais (ANACOM Q3 2025). Inclui fixo+móvel+pacotes.</t>
        </is>
      </c>
      <c r="X36" s="4" t="n"/>
      <c r="Y36" s="4" t="n"/>
      <c r="Z36" s="4" t="n"/>
    </row>
    <row r="37" ht="45" customFormat="1" customHeight="1" s="3"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45" customFormat="1" customHeight="1" s="3"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45" customFormat="1" customHeight="1" s="3"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45" customFormat="1" customHeight="1" s="3"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45" customFormat="1" customHeight="1" s="3"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45" customFormat="1" customHeight="1" s="3"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45" customFormat="1" customHeight="1" s="3"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45" customFormat="1" customHeight="1" s="3"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45" customFormat="1" customHeight="1" s="3"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45" customFormat="1" customHeight="1" s="3"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45" customFormat="1" customHeight="1" s="3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45" customFormat="1" customHeight="1" s="3"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45" customFormat="1" customHeight="1" s="3"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45" customFormat="1" customHeight="1" s="3"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</sheetData>
  <mergeCells count="5">
    <mergeCell ref="A36:W36"/>
    <mergeCell ref="C4:C10"/>
    <mergeCell ref="C25:C28"/>
    <mergeCell ref="C12:C16"/>
    <mergeCell ref="C19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22" customHeight="1">
      <c r="A1" s="174" t="inlineStr">
        <is>
          <t>NOS v2 (NOS SGPS) — Dados Públicos Confirmados (Comunicados Trimestrais)</t>
        </is>
      </c>
    </row>
    <row r="2" ht="18" customHeight="1">
      <c r="A2" s="175" t="inlineStr">
        <is>
          <t>🟢 NOS SGPS está cotada na Euronext Lisboa — divulgação trimestral obrigatória (CMVM). Valores idênticos à sheet NOS (confirmada). Fonte: investor.nos.pt  †CYQ4'25, H2'25, CY'25 incluem Q4'25 estimado (placeholder = Q3'25).</t>
        </is>
      </c>
    </row>
    <row r="3" ht="18" customHeight="1">
      <c r="A3" s="175" t="inlineStr">
        <is>
          <t>🟢 Verde = Dados públicos confirmados. Sem estimativas nesta sheet.</t>
        </is>
      </c>
    </row>
    <row r="4" ht="30" customHeight="1">
      <c r="A4" s="144" t="inlineStr">
        <is>
          <t>Financial KPI's</t>
        </is>
      </c>
      <c r="B4" s="144" t="inlineStr"/>
      <c r="C4" s="144" t="inlineStr">
        <is>
          <t>CYQ1'24</t>
        </is>
      </c>
      <c r="D4" s="144" t="inlineStr">
        <is>
          <t>CYQ2'24</t>
        </is>
      </c>
      <c r="E4" s="144" t="inlineStr">
        <is>
          <t>H1'24</t>
        </is>
      </c>
      <c r="F4" s="144" t="inlineStr">
        <is>
          <t>CYQ3'24</t>
        </is>
      </c>
      <c r="G4" s="144" t="inlineStr">
        <is>
          <t>CYQ4'24</t>
        </is>
      </c>
      <c r="H4" s="144" t="inlineStr">
        <is>
          <t>H2'24</t>
        </is>
      </c>
      <c r="I4" s="144" t="inlineStr">
        <is>
          <t>CY'24</t>
        </is>
      </c>
      <c r="J4" s="144" t="inlineStr">
        <is>
          <t>CYQ1'25</t>
        </is>
      </c>
      <c r="K4" s="144" t="inlineStr">
        <is>
          <t>CYQ2'25</t>
        </is>
      </c>
      <c r="L4" s="144" t="inlineStr">
        <is>
          <t>H1'25</t>
        </is>
      </c>
      <c r="M4" s="144" t="inlineStr">
        <is>
          <t>CYQ3'25</t>
        </is>
      </c>
      <c r="N4" s="144" t="inlineStr">
        <is>
          <t>CYQ4'25†</t>
        </is>
      </c>
      <c r="O4" s="144" t="inlineStr">
        <is>
          <t>H2'25†</t>
        </is>
      </c>
      <c r="P4" s="144" t="inlineStr">
        <is>
          <t>CY'25†</t>
        </is>
      </c>
      <c r="Q4" s="144" t="inlineStr">
        <is>
          <t>Y/Y Q1'25</t>
        </is>
      </c>
      <c r="R4" s="144" t="inlineStr">
        <is>
          <t>Y/Y Q2'25</t>
        </is>
      </c>
      <c r="S4" s="144" t="inlineStr">
        <is>
          <t>Y/Y H1</t>
        </is>
      </c>
      <c r="T4" s="144" t="inlineStr">
        <is>
          <t>Y/Y Q3'25</t>
        </is>
      </c>
      <c r="U4" s="144" t="inlineStr">
        <is>
          <t>Y/Y Q4'25</t>
        </is>
      </c>
      <c r="V4" s="144" t="inlineStr">
        <is>
          <t>Y/Y H2</t>
        </is>
      </c>
      <c r="W4" s="144" t="inlineStr">
        <is>
          <t>Y/Y '25</t>
        </is>
      </c>
    </row>
    <row r="5" ht="18" customHeight="1">
      <c r="A5" s="145" t="inlineStr">
        <is>
          <t>Revenue €</t>
        </is>
      </c>
    </row>
    <row r="6" ht="16" customHeight="1">
      <c r="A6" s="146" t="inlineStr">
        <is>
          <t>Revenue €</t>
        </is>
      </c>
      <c r="B6" s="146" t="inlineStr">
        <is>
          <t>Total</t>
        </is>
      </c>
      <c r="C6" s="185" t="n">
        <v>403300000</v>
      </c>
      <c r="D6" s="185" t="n">
        <v>444200000</v>
      </c>
      <c r="E6" s="185" t="n">
        <v>847500000</v>
      </c>
      <c r="F6" s="185" t="n">
        <v>462800000</v>
      </c>
      <c r="G6" s="185" t="n">
        <v>484900000</v>
      </c>
      <c r="H6" s="185" t="n">
        <v>947700000</v>
      </c>
      <c r="I6" s="185" t="n">
        <v>1795200000</v>
      </c>
      <c r="J6" s="185" t="n">
        <v>421400000</v>
      </c>
      <c r="K6" s="185" t="n">
        <v>458200000</v>
      </c>
      <c r="L6" s="185" t="n">
        <v>879600000</v>
      </c>
      <c r="M6" s="185" t="n">
        <v>457300000</v>
      </c>
      <c r="N6" s="185" t="n">
        <v>457300000</v>
      </c>
      <c r="O6" s="185" t="n">
        <v>914600000</v>
      </c>
      <c r="P6" s="185" t="n">
        <v>1794200000</v>
      </c>
      <c r="Q6" s="186" t="n">
        <v>0.04487974212744855</v>
      </c>
      <c r="R6" s="186" t="n">
        <v>0.0315173345339937</v>
      </c>
      <c r="S6" s="186" t="n">
        <v>0.03787610619469026</v>
      </c>
      <c r="T6" s="186" t="n">
        <v>-0.01188418323249784</v>
      </c>
      <c r="U6" s="150" t="n"/>
      <c r="V6" s="186" t="n">
        <v>-0.03492666455629419</v>
      </c>
      <c r="W6" s="186" t="n">
        <v>-0.0005570409982174688</v>
      </c>
    </row>
    <row r="7" ht="16" customHeight="1">
      <c r="A7" s="151" t="inlineStr"/>
      <c r="B7" s="146" t="inlineStr">
        <is>
          <t>Eliminações</t>
        </is>
      </c>
      <c r="C7" s="185" t="n">
        <v>-8500000</v>
      </c>
      <c r="D7" s="185" t="n">
        <v>-8500000</v>
      </c>
      <c r="E7" s="185" t="n">
        <v>-17000000</v>
      </c>
      <c r="F7" s="185" t="n">
        <v>-9900000</v>
      </c>
      <c r="G7" s="185" t="n">
        <v>-9900000</v>
      </c>
      <c r="H7" s="185" t="n">
        <v>-19800000</v>
      </c>
      <c r="I7" s="185" t="n">
        <v>-36800000</v>
      </c>
      <c r="J7" s="185" t="n">
        <v>-8400000</v>
      </c>
      <c r="K7" s="185" t="n">
        <v>-9200000</v>
      </c>
      <c r="L7" s="185" t="n">
        <v>-17600000</v>
      </c>
      <c r="M7" s="185" t="n">
        <v>-9600000</v>
      </c>
      <c r="N7" s="185" t="n">
        <v>-9600000</v>
      </c>
      <c r="O7" s="185" t="n">
        <v>-19200000</v>
      </c>
      <c r="P7" s="185" t="n">
        <v>-36800000</v>
      </c>
      <c r="Q7" s="186" t="n">
        <v>0.01176470588235294</v>
      </c>
      <c r="R7" s="186" t="n">
        <v>-0.08235294117647059</v>
      </c>
      <c r="S7" s="186" t="n">
        <v>-0.03529411764705882</v>
      </c>
      <c r="T7" s="186" t="n">
        <v>0.0303030303030303</v>
      </c>
      <c r="U7" s="150" t="n"/>
      <c r="V7" s="186" t="n">
        <v>0.0303030303030303</v>
      </c>
      <c r="W7" s="186" t="n">
        <v>0</v>
      </c>
    </row>
    <row r="8" ht="16" customHeight="1">
      <c r="A8" s="151" t="inlineStr"/>
      <c r="B8" s="146" t="inlineStr">
        <is>
          <t>Telco</t>
        </is>
      </c>
      <c r="C8" s="185" t="n">
        <v>375800000</v>
      </c>
      <c r="D8" s="185" t="n">
        <v>383300000</v>
      </c>
      <c r="E8" s="185" t="n">
        <v>759100000</v>
      </c>
      <c r="F8" s="185" t="n">
        <v>394600000</v>
      </c>
      <c r="G8" s="185" t="n">
        <v>414500000</v>
      </c>
      <c r="H8" s="185" t="n">
        <v>809100000</v>
      </c>
      <c r="I8" s="185" t="n">
        <v>1568200000</v>
      </c>
      <c r="J8" s="185" t="n">
        <v>389600000</v>
      </c>
      <c r="K8" s="185" t="n">
        <v>392300000</v>
      </c>
      <c r="L8" s="185" t="n">
        <v>781900000</v>
      </c>
      <c r="M8" s="185" t="n">
        <v>395800000</v>
      </c>
      <c r="N8" s="185" t="n">
        <v>395800000</v>
      </c>
      <c r="O8" s="185" t="n">
        <v>791600000</v>
      </c>
      <c r="P8" s="185" t="n">
        <v>1573500000</v>
      </c>
      <c r="Q8" s="186" t="n">
        <v>0.03672166045769026</v>
      </c>
      <c r="R8" s="186" t="n">
        <v>0.02348030263501174</v>
      </c>
      <c r="S8" s="186" t="n">
        <v>0.03003556843630615</v>
      </c>
      <c r="T8" s="186" t="n">
        <v>0.003041054232133807</v>
      </c>
      <c r="U8" s="150" t="n"/>
      <c r="V8" s="186" t="n">
        <v>-0.02162897046100606</v>
      </c>
      <c r="W8" s="186" t="n">
        <v>0.003379670960336692</v>
      </c>
    </row>
    <row r="9" ht="16" customHeight="1">
      <c r="A9" s="151" t="inlineStr"/>
      <c r="B9" s="146" t="inlineStr">
        <is>
          <t>B2C</t>
        </is>
      </c>
      <c r="C9" s="185" t="n">
        <v>277600000</v>
      </c>
      <c r="D9" s="185" t="n">
        <v>282100000</v>
      </c>
      <c r="E9" s="185" t="n">
        <v>559700000</v>
      </c>
      <c r="F9" s="185" t="n">
        <v>289500000</v>
      </c>
      <c r="G9" s="185" t="n">
        <v>293300000</v>
      </c>
      <c r="H9" s="185" t="n">
        <v>582800000</v>
      </c>
      <c r="I9" s="185" t="n">
        <v>1142500000</v>
      </c>
      <c r="J9" s="185" t="n">
        <v>282400000</v>
      </c>
      <c r="K9" s="185" t="n">
        <v>281300000</v>
      </c>
      <c r="L9" s="185" t="n">
        <v>563700000</v>
      </c>
      <c r="M9" s="185" t="n">
        <v>286100000</v>
      </c>
      <c r="N9" s="185" t="n">
        <v>286100000</v>
      </c>
      <c r="O9" s="185" t="n">
        <v>572200000</v>
      </c>
      <c r="P9" s="185" t="n">
        <v>1135900000</v>
      </c>
      <c r="Q9" s="186" t="n">
        <v>0.01729106628242075</v>
      </c>
      <c r="R9" s="186" t="n">
        <v>-0.002835873803615739</v>
      </c>
      <c r="S9" s="186" t="n">
        <v>0.007146685724495266</v>
      </c>
      <c r="T9" s="186" t="n">
        <v>-0.01174438687392055</v>
      </c>
      <c r="U9" s="150" t="n"/>
      <c r="V9" s="186" t="n">
        <v>-0.01818805765271105</v>
      </c>
      <c r="W9" s="186" t="n">
        <v>-0.005776805251641138</v>
      </c>
    </row>
    <row r="10" ht="16" customHeight="1">
      <c r="A10" s="151" t="inlineStr"/>
      <c r="B10" s="146" t="inlineStr">
        <is>
          <t>B2B</t>
        </is>
      </c>
      <c r="C10" s="185" t="n">
        <v>98200000</v>
      </c>
      <c r="D10" s="185" t="n">
        <v>101200000</v>
      </c>
      <c r="E10" s="185" t="n">
        <v>199400000</v>
      </c>
      <c r="F10" s="185" t="n">
        <v>105100000</v>
      </c>
      <c r="G10" s="185" t="n">
        <v>121200000</v>
      </c>
      <c r="H10" s="185" t="n">
        <v>226300000</v>
      </c>
      <c r="I10" s="185" t="n">
        <v>425700000</v>
      </c>
      <c r="J10" s="185" t="n">
        <v>107200000</v>
      </c>
      <c r="K10" s="185" t="n">
        <v>111000000</v>
      </c>
      <c r="L10" s="185" t="n">
        <v>218200000</v>
      </c>
      <c r="M10" s="185" t="n">
        <v>109700000</v>
      </c>
      <c r="N10" s="185" t="n">
        <v>109700000</v>
      </c>
      <c r="O10" s="185" t="n">
        <v>219400000</v>
      </c>
      <c r="P10" s="185" t="n">
        <v>437600000</v>
      </c>
      <c r="Q10" s="186" t="n">
        <v>0.09164969450101833</v>
      </c>
      <c r="R10" s="186" t="n">
        <v>0.09683794466403162</v>
      </c>
      <c r="S10" s="186" t="n">
        <v>0.09428284854563691</v>
      </c>
      <c r="T10" s="186" t="n">
        <v>0.04376784015223597</v>
      </c>
      <c r="U10" s="150" t="n"/>
      <c r="V10" s="186" t="n">
        <v>-0.03049049933716306</v>
      </c>
      <c r="W10" s="186" t="n">
        <v>0.02795395818651633</v>
      </c>
    </row>
    <row r="11" ht="16" customHeight="1">
      <c r="A11" s="151" t="inlineStr"/>
      <c r="B11" s="146" t="inlineStr">
        <is>
          <t>IT</t>
        </is>
      </c>
      <c r="C11" s="185" t="n">
        <v>13200000</v>
      </c>
      <c r="D11" s="185" t="n">
        <v>49700000</v>
      </c>
      <c r="E11" s="185" t="n">
        <v>62900000</v>
      </c>
      <c r="F11" s="185" t="n">
        <v>45400000</v>
      </c>
      <c r="G11" s="185" t="n">
        <v>53200000</v>
      </c>
      <c r="H11" s="185" t="n">
        <v>98600000</v>
      </c>
      <c r="I11" s="185" t="n">
        <v>161500000</v>
      </c>
      <c r="J11" s="185" t="n">
        <v>17100000</v>
      </c>
      <c r="K11" s="185" t="n">
        <v>49300000</v>
      </c>
      <c r="L11" s="185" t="n">
        <v>66400000</v>
      </c>
      <c r="M11" s="185" t="n">
        <v>45200000</v>
      </c>
      <c r="N11" s="185" t="n">
        <v>45200000</v>
      </c>
      <c r="O11" s="185" t="n">
        <v>90400000</v>
      </c>
      <c r="P11" s="185" t="n">
        <v>156800000</v>
      </c>
      <c r="Q11" s="186" t="n">
        <v>0.2954545454545455</v>
      </c>
      <c r="R11" s="186" t="n">
        <v>-0.008048289738430584</v>
      </c>
      <c r="S11" s="186" t="n">
        <v>0.05564387917329094</v>
      </c>
      <c r="T11" s="186" t="n">
        <v>-0.004405286343612335</v>
      </c>
      <c r="U11" s="150" t="n"/>
      <c r="V11" s="186" t="n">
        <v>-0.08316430020283976</v>
      </c>
      <c r="W11" s="186" t="n">
        <v>-0.02910216718266254</v>
      </c>
    </row>
    <row r="12" ht="16" customHeight="1">
      <c r="A12" s="151" t="inlineStr"/>
      <c r="B12" s="146" t="inlineStr">
        <is>
          <t>Cinema</t>
        </is>
      </c>
      <c r="C12" s="185" t="n">
        <v>22800000</v>
      </c>
      <c r="D12" s="185" t="n">
        <v>19700000</v>
      </c>
      <c r="E12" s="185" t="n">
        <v>42500000</v>
      </c>
      <c r="F12" s="185" t="n">
        <v>32700000</v>
      </c>
      <c r="G12" s="185" t="n">
        <v>27100000</v>
      </c>
      <c r="H12" s="185" t="n">
        <v>59800000</v>
      </c>
      <c r="I12" s="185" t="n">
        <v>102300000</v>
      </c>
      <c r="J12" s="185" t="n">
        <v>23100000</v>
      </c>
      <c r="K12" s="185" t="n">
        <v>25800000</v>
      </c>
      <c r="L12" s="185" t="n">
        <v>48900000</v>
      </c>
      <c r="M12" s="185" t="n">
        <v>25900000</v>
      </c>
      <c r="N12" s="185" t="n">
        <v>25900000</v>
      </c>
      <c r="O12" s="185" t="n">
        <v>51800000</v>
      </c>
      <c r="P12" s="185" t="n">
        <v>100700000</v>
      </c>
      <c r="Q12" s="186" t="n">
        <v>0.0131578947368421</v>
      </c>
      <c r="R12" s="186" t="n">
        <v>0.3096446700507614</v>
      </c>
      <c r="S12" s="186" t="n">
        <v>0.1505882352941176</v>
      </c>
      <c r="T12" s="186" t="n">
        <v>-0.2079510703363914</v>
      </c>
      <c r="U12" s="150" t="n"/>
      <c r="V12" s="186" t="n">
        <v>-0.1337792642140468</v>
      </c>
      <c r="W12" s="186" t="n">
        <v>-0.01564027370478983</v>
      </c>
    </row>
    <row r="13" ht="18" customHeight="1">
      <c r="A13" s="145" t="inlineStr">
        <is>
          <t>Revenue weight (%)</t>
        </is>
      </c>
    </row>
    <row r="14" ht="16" customHeight="1">
      <c r="A14" s="146" t="inlineStr">
        <is>
          <t>Revenue weight (%)</t>
        </is>
      </c>
      <c r="B14" s="146" t="inlineStr">
        <is>
          <t>Telco</t>
        </is>
      </c>
      <c r="C14" s="186" t="n">
        <v>0.9318125464914456</v>
      </c>
      <c r="D14" s="186" t="n">
        <v>0.8628995947771274</v>
      </c>
      <c r="E14" s="186" t="n">
        <v>0.8956932153392331</v>
      </c>
      <c r="F14" s="186" t="n">
        <v>0.8526361279170268</v>
      </c>
      <c r="G14" s="186" t="n">
        <v>0.8548154258610022</v>
      </c>
      <c r="H14" s="186" t="n">
        <v>0.8537511870845205</v>
      </c>
      <c r="I14" s="186" t="n">
        <v>0.8735516934046346</v>
      </c>
      <c r="J14" s="186" t="n">
        <v>0.9245372567631703</v>
      </c>
      <c r="K14" s="186" t="n">
        <v>0.8561763422086425</v>
      </c>
      <c r="L14" s="186" t="n">
        <v>0.8889267849022283</v>
      </c>
      <c r="M14" s="186" t="n">
        <v>0.865514979225891</v>
      </c>
      <c r="N14" s="186" t="n">
        <v>0.865514979225891</v>
      </c>
      <c r="O14" s="186" t="n">
        <v>0.865514979225891</v>
      </c>
      <c r="P14" s="186" t="n">
        <v>0.8769925314903578</v>
      </c>
      <c r="Q14" s="187" t="n">
        <v>-0.007275289728275292</v>
      </c>
      <c r="R14" s="187" t="n">
        <v>-0.006723252568484939</v>
      </c>
      <c r="S14" s="187" t="n">
        <v>-0.006766430437004756</v>
      </c>
      <c r="T14" s="187" t="n">
        <v>0.01287885130886424</v>
      </c>
      <c r="U14" s="153" t="n"/>
      <c r="V14" s="153" t="n"/>
      <c r="W14" s="153" t="n"/>
    </row>
    <row r="15" ht="16" customHeight="1">
      <c r="A15" s="151" t="inlineStr"/>
      <c r="B15" s="146" t="inlineStr">
        <is>
          <t>B2C</t>
        </is>
      </c>
      <c r="C15" s="186" t="n">
        <v>0.7386907929749867</v>
      </c>
      <c r="D15" s="186" t="n">
        <v>0.735977041481868</v>
      </c>
      <c r="E15" s="186" t="n">
        <v>0.7373205111316032</v>
      </c>
      <c r="F15" s="186" t="n">
        <v>0.7336543335022808</v>
      </c>
      <c r="G15" s="186" t="n">
        <v>0.707599517490953</v>
      </c>
      <c r="H15" s="186" t="n">
        <v>0.7203065134099617</v>
      </c>
      <c r="I15" s="186" t="n">
        <v>0.7285422777706925</v>
      </c>
      <c r="J15" s="186" t="n">
        <v>0.7248459958932238</v>
      </c>
      <c r="K15" s="186" t="n">
        <v>0.7170532755544227</v>
      </c>
      <c r="L15" s="186" t="n">
        <v>0.720936181097327</v>
      </c>
      <c r="M15" s="186" t="n">
        <v>0.7228398180899445</v>
      </c>
      <c r="N15" s="186" t="n">
        <v>0.7228398180899445</v>
      </c>
      <c r="O15" s="186" t="n">
        <v>0.7228398180899445</v>
      </c>
      <c r="P15" s="186" t="n">
        <v>0.7218938671750874</v>
      </c>
      <c r="Q15" s="187" t="n">
        <v>-0.01384479708176289</v>
      </c>
      <c r="R15" s="187" t="n">
        <v>-0.01892376592744538</v>
      </c>
      <c r="S15" s="187" t="n">
        <v>-0.0163843300342762</v>
      </c>
      <c r="T15" s="187" t="n">
        <v>-0.01081451541233636</v>
      </c>
      <c r="U15" s="153" t="n"/>
      <c r="V15" s="153" t="n"/>
      <c r="W15" s="153" t="n"/>
    </row>
    <row r="16" ht="16" customHeight="1">
      <c r="A16" s="151" t="inlineStr"/>
      <c r="B16" s="146" t="inlineStr">
        <is>
          <t>B2B</t>
        </is>
      </c>
      <c r="C16" s="186" t="n">
        <v>0.2613092070250133</v>
      </c>
      <c r="D16" s="186" t="n">
        <v>0.264022958518132</v>
      </c>
      <c r="E16" s="186" t="n">
        <v>0.2626794888683968</v>
      </c>
      <c r="F16" s="186" t="n">
        <v>0.2663456664977192</v>
      </c>
      <c r="G16" s="186" t="n">
        <v>0.292400482509047</v>
      </c>
      <c r="H16" s="186" t="n">
        <v>0.2796934865900383</v>
      </c>
      <c r="I16" s="186" t="n">
        <v>0.2714577222293075</v>
      </c>
      <c r="J16" s="186" t="n">
        <v>0.2751540041067762</v>
      </c>
      <c r="K16" s="186" t="n">
        <v>0.2829467244455774</v>
      </c>
      <c r="L16" s="186" t="n">
        <v>0.279063818902673</v>
      </c>
      <c r="M16" s="186" t="n">
        <v>0.2771601819100556</v>
      </c>
      <c r="N16" s="186" t="n">
        <v>0.2771601819100556</v>
      </c>
      <c r="O16" s="186" t="n">
        <v>0.2771601819100556</v>
      </c>
      <c r="P16" s="186" t="n">
        <v>0.2781061328249126</v>
      </c>
      <c r="Q16" s="187" t="n">
        <v>0.01384479708176289</v>
      </c>
      <c r="R16" s="187" t="n">
        <v>0.01892376592744538</v>
      </c>
      <c r="S16" s="187" t="n">
        <v>0.0163843300342762</v>
      </c>
      <c r="T16" s="187" t="n">
        <v>0.01081451541233636</v>
      </c>
      <c r="U16" s="153" t="n"/>
      <c r="V16" s="153" t="n"/>
      <c r="W16" s="153" t="n"/>
    </row>
    <row r="17" ht="16" customHeight="1">
      <c r="A17" s="151" t="inlineStr"/>
      <c r="B17" s="146" t="inlineStr">
        <is>
          <t>IT</t>
        </is>
      </c>
      <c r="C17" s="186" t="n">
        <v>0.03272997768410613</v>
      </c>
      <c r="D17" s="186" t="n">
        <v>0.1118865375956776</v>
      </c>
      <c r="E17" s="186" t="n">
        <v>0.07421828908554572</v>
      </c>
      <c r="F17" s="186" t="n">
        <v>0.09809853068280035</v>
      </c>
      <c r="G17" s="186" t="n">
        <v>0.1097133429573108</v>
      </c>
      <c r="H17" s="186" t="n">
        <v>0.1040413633006226</v>
      </c>
      <c r="I17" s="186" t="n">
        <v>0.08996212121212122</v>
      </c>
      <c r="J17" s="186" t="n">
        <v>0.04057902230659706</v>
      </c>
      <c r="K17" s="186" t="n">
        <v>0.1075949367088608</v>
      </c>
      <c r="L17" s="186" t="n">
        <v>0.07548885857207822</v>
      </c>
      <c r="M17" s="186" t="n">
        <v>0.09884102339820687</v>
      </c>
      <c r="N17" s="186" t="n">
        <v>0.09884102339820687</v>
      </c>
      <c r="O17" s="186" t="n">
        <v>0.09884102339820687</v>
      </c>
      <c r="P17" s="186" t="n">
        <v>0.08739270984282689</v>
      </c>
      <c r="Q17" s="187" t="n">
        <v>0.007849044622490933</v>
      </c>
      <c r="R17" s="187" t="n">
        <v>-0.004291600886816863</v>
      </c>
      <c r="S17" s="187" t="n">
        <v>0.001270569486532508</v>
      </c>
      <c r="T17" s="187" t="n">
        <v>0.0007424927154065231</v>
      </c>
      <c r="U17" s="153" t="n"/>
      <c r="V17" s="153" t="n"/>
      <c r="W17" s="153" t="n"/>
    </row>
    <row r="18" ht="16" customHeight="1">
      <c r="A18" s="151" t="inlineStr"/>
      <c r="B18" s="146" t="inlineStr">
        <is>
          <t>Cinema</t>
        </is>
      </c>
      <c r="C18" s="186" t="n">
        <v>0.05653359781800149</v>
      </c>
      <c r="D18" s="186" t="n">
        <v>0.04434939216569113</v>
      </c>
      <c r="E18" s="186" t="n">
        <v>0.05014749262536873</v>
      </c>
      <c r="F18" s="186" t="n">
        <v>0.07065687121866897</v>
      </c>
      <c r="G18" s="186" t="n">
        <v>0.0558878119199835</v>
      </c>
      <c r="H18" s="186" t="n">
        <v>0.06310013717421124</v>
      </c>
      <c r="I18" s="186" t="n">
        <v>0.05698529411764706</v>
      </c>
      <c r="J18" s="186" t="n">
        <v>0.0548172757475083</v>
      </c>
      <c r="K18" s="186" t="n">
        <v>0.05630728939327805</v>
      </c>
      <c r="L18" s="186" t="n">
        <v>0.05559345156889495</v>
      </c>
      <c r="M18" s="186" t="n">
        <v>0.05663678110649464</v>
      </c>
      <c r="N18" s="186" t="n">
        <v>0.05663678110649464</v>
      </c>
      <c r="O18" s="186" t="n">
        <v>0.05663678110649464</v>
      </c>
      <c r="P18" s="186" t="n">
        <v>0.05612529260951956</v>
      </c>
      <c r="Q18" s="187" t="n">
        <v>-0.001716322070493187</v>
      </c>
      <c r="R18" s="187" t="n">
        <v>0.01195789722758692</v>
      </c>
      <c r="S18" s="187" t="n">
        <v>0.005445958943526223</v>
      </c>
      <c r="T18" s="187" t="n">
        <v>-0.01402009011217432</v>
      </c>
      <c r="U18" s="153" t="n"/>
      <c r="V18" s="153" t="n"/>
      <c r="W18" s="153" t="n"/>
    </row>
    <row r="19" ht="18" customHeight="1">
      <c r="A19" s="145" t="inlineStr">
        <is>
          <t>EBITDA €</t>
        </is>
      </c>
    </row>
    <row r="20" ht="16" customHeight="1">
      <c r="A20" s="146" t="inlineStr">
        <is>
          <t>EBITDA €</t>
        </is>
      </c>
      <c r="B20" s="146" t="inlineStr">
        <is>
          <t>Total</t>
        </is>
      </c>
      <c r="C20" s="185" t="n">
        <v>184500000</v>
      </c>
      <c r="D20" s="185" t="n">
        <v>191500000</v>
      </c>
      <c r="E20" s="185" t="n">
        <v>376000000</v>
      </c>
      <c r="F20" s="185" t="n">
        <v>216900000</v>
      </c>
      <c r="G20" s="185" t="n">
        <v>187300000</v>
      </c>
      <c r="H20" s="185" t="n">
        <v>404200000</v>
      </c>
      <c r="I20" s="185" t="n">
        <v>780200000</v>
      </c>
      <c r="J20" s="185" t="n">
        <v>192300000</v>
      </c>
      <c r="K20" s="185" t="n">
        <v>202900000</v>
      </c>
      <c r="L20" s="185" t="n">
        <v>395200000</v>
      </c>
      <c r="M20" s="185" t="n">
        <v>222700000</v>
      </c>
      <c r="N20" s="185" t="n">
        <v>222700000</v>
      </c>
      <c r="O20" s="185" t="n">
        <v>445400000</v>
      </c>
      <c r="P20" s="185" t="n">
        <v>840600000</v>
      </c>
      <c r="Q20" s="186" t="n">
        <v>0.04227642276422764</v>
      </c>
      <c r="R20" s="186" t="n">
        <v>0.05953002610966057</v>
      </c>
      <c r="S20" s="186" t="n">
        <v>0.05106382978723404</v>
      </c>
      <c r="T20" s="186" t="n">
        <v>0.02674043337943753</v>
      </c>
      <c r="U20" s="150" t="n"/>
      <c r="V20" s="186" t="n">
        <v>0.1019297377535873</v>
      </c>
      <c r="W20" s="186" t="n">
        <v>0.07741604716739298</v>
      </c>
    </row>
    <row r="21" ht="16" customHeight="1">
      <c r="A21" s="151" t="inlineStr"/>
      <c r="B21" s="146" t="inlineStr">
        <is>
          <t>Telco</t>
        </is>
      </c>
      <c r="C21" s="185" t="n">
        <v>172100000</v>
      </c>
      <c r="D21" s="185" t="n">
        <v>177300000</v>
      </c>
      <c r="E21" s="185" t="n">
        <v>349400000</v>
      </c>
      <c r="F21" s="185" t="n">
        <v>196400000</v>
      </c>
      <c r="G21" s="185" t="n">
        <v>169000000</v>
      </c>
      <c r="H21" s="185" t="n">
        <v>365400000</v>
      </c>
      <c r="I21" s="185" t="n">
        <v>714800000</v>
      </c>
      <c r="J21" s="185" t="n">
        <v>179600000</v>
      </c>
      <c r="K21" s="185" t="n">
        <v>184700000</v>
      </c>
      <c r="L21" s="185" t="n">
        <v>364300000</v>
      </c>
      <c r="M21" s="185" t="n">
        <v>204800000</v>
      </c>
      <c r="N21" s="185" t="n">
        <v>204800000</v>
      </c>
      <c r="O21" s="185" t="n">
        <v>409600000</v>
      </c>
      <c r="P21" s="185" t="n">
        <v>773900000</v>
      </c>
      <c r="Q21" s="186" t="n">
        <v>0.04357931435212086</v>
      </c>
      <c r="R21" s="186" t="n">
        <v>0.04173716864072194</v>
      </c>
      <c r="S21" s="186" t="n">
        <v>0.04264453348597596</v>
      </c>
      <c r="T21" s="186" t="n">
        <v>0.04276985743380855</v>
      </c>
      <c r="U21" s="150" t="n"/>
      <c r="V21" s="186" t="n">
        <v>0.1209633278598796</v>
      </c>
      <c r="W21" s="186" t="n">
        <v>0.08268047006155568</v>
      </c>
    </row>
    <row r="22" ht="16" customHeight="1">
      <c r="A22" s="151" t="inlineStr"/>
      <c r="B22" s="146" t="inlineStr">
        <is>
          <t>IT</t>
        </is>
      </c>
      <c r="C22" s="185" t="n">
        <v>1700000</v>
      </c>
      <c r="D22" s="185" t="n">
        <v>5500000</v>
      </c>
      <c r="E22" s="185" t="n">
        <v>7200000</v>
      </c>
      <c r="F22" s="185" t="n">
        <v>5300000</v>
      </c>
      <c r="G22" s="185" t="n">
        <v>6100000</v>
      </c>
      <c r="H22" s="185" t="n">
        <v>11400000</v>
      </c>
      <c r="I22" s="185" t="n">
        <v>18600000</v>
      </c>
      <c r="J22" s="185" t="n">
        <v>1900000</v>
      </c>
      <c r="K22" s="185" t="n">
        <v>6500000</v>
      </c>
      <c r="L22" s="185" t="n">
        <v>8400000</v>
      </c>
      <c r="M22" s="185" t="n">
        <v>5900000</v>
      </c>
      <c r="N22" s="185" t="n">
        <v>5900000</v>
      </c>
      <c r="O22" s="185" t="n">
        <v>11800000</v>
      </c>
      <c r="P22" s="185" t="n">
        <v>20200000</v>
      </c>
      <c r="Q22" s="186" t="n">
        <v>0.1176470588235294</v>
      </c>
      <c r="R22" s="186" t="n">
        <v>0.1818181818181818</v>
      </c>
      <c r="S22" s="186" t="n">
        <v>0.1666666666666667</v>
      </c>
      <c r="T22" s="186" t="n">
        <v>0.1132075471698113</v>
      </c>
      <c r="U22" s="150" t="n"/>
      <c r="V22" s="186" t="n">
        <v>0.03508771929824561</v>
      </c>
      <c r="W22" s="186" t="n">
        <v>0.08602150537634409</v>
      </c>
    </row>
    <row r="23" ht="16" customHeight="1">
      <c r="A23" s="151" t="inlineStr"/>
      <c r="B23" s="146" t="inlineStr">
        <is>
          <t>Cinema</t>
        </is>
      </c>
      <c r="C23" s="185" t="n">
        <v>10600000</v>
      </c>
      <c r="D23" s="185" t="n">
        <v>8700000</v>
      </c>
      <c r="E23" s="185" t="n">
        <v>19300000</v>
      </c>
      <c r="F23" s="185" t="n">
        <v>15200000</v>
      </c>
      <c r="G23" s="185" t="n">
        <v>12200000</v>
      </c>
      <c r="H23" s="185" t="n">
        <v>27400000</v>
      </c>
      <c r="I23" s="185" t="n">
        <v>46700000</v>
      </c>
      <c r="J23" s="185" t="n">
        <v>10900000</v>
      </c>
      <c r="K23" s="185" t="n">
        <v>11700000</v>
      </c>
      <c r="L23" s="185" t="n">
        <v>22600000</v>
      </c>
      <c r="M23" s="185" t="n">
        <v>12000000</v>
      </c>
      <c r="N23" s="185" t="n">
        <v>12000000</v>
      </c>
      <c r="O23" s="185" t="n">
        <v>24000000</v>
      </c>
      <c r="P23" s="185" t="n">
        <v>46600000</v>
      </c>
      <c r="Q23" s="186" t="n">
        <v>0.02830188679245283</v>
      </c>
      <c r="R23" s="186" t="n">
        <v>0.3448275862068966</v>
      </c>
      <c r="S23" s="186" t="n">
        <v>0.1709844559585492</v>
      </c>
      <c r="T23" s="186" t="n">
        <v>-0.2105263157894737</v>
      </c>
      <c r="U23" s="150" t="n"/>
      <c r="V23" s="186" t="n">
        <v>-0.1240875912408759</v>
      </c>
      <c r="W23" s="186" t="n">
        <v>-0.002141327623126338</v>
      </c>
    </row>
    <row r="24" ht="16" customHeight="1">
      <c r="A24" s="146" t="inlineStr">
        <is>
          <t>EBITDA %</t>
        </is>
      </c>
      <c r="B24" s="146" t="inlineStr">
        <is>
          <t>Total</t>
        </is>
      </c>
      <c r="C24" s="186" t="n">
        <v>0.4574758244483015</v>
      </c>
      <c r="D24" s="186" t="n">
        <v>0.4311121116614138</v>
      </c>
      <c r="E24" s="186" t="n">
        <v>0.4436578171091445</v>
      </c>
      <c r="F24" s="186" t="n">
        <v>0.4686689714779602</v>
      </c>
      <c r="G24" s="186" t="n">
        <v>0.3862652093215096</v>
      </c>
      <c r="H24" s="186" t="n">
        <v>0.4265062783581302</v>
      </c>
      <c r="I24" s="186" t="n">
        <v>0.4346033868092692</v>
      </c>
      <c r="J24" s="186" t="n">
        <v>0.4563360227812055</v>
      </c>
      <c r="K24" s="186" t="n">
        <v>0.4428197293758184</v>
      </c>
      <c r="L24" s="186" t="n">
        <v>0.4492951341518872</v>
      </c>
      <c r="M24" s="186" t="n">
        <v>0.4869888475836431</v>
      </c>
      <c r="N24" s="186" t="n">
        <v>0.4869888475836431</v>
      </c>
      <c r="O24" s="186" t="n">
        <v>0.4869888475836431</v>
      </c>
      <c r="P24" s="186" t="n">
        <v>0.468509642180359</v>
      </c>
      <c r="Q24" s="187" t="n">
        <v>-0.001139801667096041</v>
      </c>
      <c r="R24" s="187" t="n">
        <v>0.01170761771440465</v>
      </c>
      <c r="S24" s="187" t="n">
        <v>0.005637317042742673</v>
      </c>
      <c r="T24" s="187" t="n">
        <v>0.01831987610568292</v>
      </c>
      <c r="U24" s="153" t="n"/>
      <c r="V24" s="153" t="n"/>
      <c r="W24" s="153" t="n"/>
    </row>
    <row r="25" ht="16" customHeight="1">
      <c r="A25" s="151" t="inlineStr"/>
      <c r="B25" s="146" t="inlineStr">
        <is>
          <t>Telco</t>
        </is>
      </c>
      <c r="C25" s="186" t="n">
        <v>0.4579563597658329</v>
      </c>
      <c r="D25" s="186" t="n">
        <v>0.4625619619097313</v>
      </c>
      <c r="E25" s="186" t="n">
        <v>0.4602819127914636</v>
      </c>
      <c r="F25" s="186" t="n">
        <v>0.4977192093258996</v>
      </c>
      <c r="G25" s="186" t="n">
        <v>0.4077201447527141</v>
      </c>
      <c r="H25" s="186" t="n">
        <v>0.4516129032258064</v>
      </c>
      <c r="I25" s="186" t="n">
        <v>0.4558092080091825</v>
      </c>
      <c r="J25" s="186" t="n">
        <v>0.4609856262833675</v>
      </c>
      <c r="K25" s="186" t="n">
        <v>0.4708131531990823</v>
      </c>
      <c r="L25" s="186" t="n">
        <v>0.4659163575904847</v>
      </c>
      <c r="M25" s="186" t="n">
        <v>0.5174330469934311</v>
      </c>
      <c r="N25" s="186" t="n">
        <v>0.5174330469934311</v>
      </c>
      <c r="O25" s="186" t="n">
        <v>0.5174330469934311</v>
      </c>
      <c r="P25" s="186" t="n">
        <v>0.4918334922148078</v>
      </c>
      <c r="Q25" s="187" t="n">
        <v>0.003029266517534657</v>
      </c>
      <c r="R25" s="187" t="n">
        <v>0.00825119128935109</v>
      </c>
      <c r="S25" s="187" t="n">
        <v>0.005634444799021143</v>
      </c>
      <c r="T25" s="187" t="n">
        <v>0.01971383766753143</v>
      </c>
      <c r="U25" s="153" t="n"/>
      <c r="V25" s="153" t="n"/>
      <c r="W25" s="153" t="n"/>
    </row>
    <row r="26" ht="16" customHeight="1">
      <c r="A26" s="151" t="inlineStr"/>
      <c r="B26" s="146" t="inlineStr">
        <is>
          <t>IT</t>
        </is>
      </c>
      <c r="C26" s="186" t="n">
        <v>0.1287878787878788</v>
      </c>
      <c r="D26" s="186" t="n">
        <v>0.1106639839034205</v>
      </c>
      <c r="E26" s="186" t="n">
        <v>0.1144674085850556</v>
      </c>
      <c r="F26" s="186" t="n">
        <v>0.1167400881057269</v>
      </c>
      <c r="G26" s="186" t="n">
        <v>0.1146616541353383</v>
      </c>
      <c r="H26" s="186" t="n">
        <v>0.1156186612576065</v>
      </c>
      <c r="I26" s="186" t="n">
        <v>0.1151702786377709</v>
      </c>
      <c r="J26" s="186" t="n">
        <v>0.1111111111111111</v>
      </c>
      <c r="K26" s="186" t="n">
        <v>0.1318458417849899</v>
      </c>
      <c r="L26" s="186" t="n">
        <v>0.1265060240963855</v>
      </c>
      <c r="M26" s="186" t="n">
        <v>0.1305309734513274</v>
      </c>
      <c r="N26" s="186" t="n">
        <v>0.1305309734513274</v>
      </c>
      <c r="O26" s="186" t="n">
        <v>0.1305309734513274</v>
      </c>
      <c r="P26" s="186" t="n">
        <v>0.1288265306122449</v>
      </c>
      <c r="Q26" s="187" t="n">
        <v>-0.01767676767676768</v>
      </c>
      <c r="R26" s="187" t="n">
        <v>0.02118185788156934</v>
      </c>
      <c r="S26" s="187" t="n">
        <v>0.01203861551132988</v>
      </c>
      <c r="T26" s="187" t="n">
        <v>0.01379088534560056</v>
      </c>
      <c r="U26" s="153" t="n"/>
      <c r="V26" s="153" t="n"/>
      <c r="W26" s="153" t="n"/>
    </row>
    <row r="27" ht="16" customHeight="1">
      <c r="A27" s="151" t="inlineStr"/>
      <c r="B27" s="146" t="inlineStr">
        <is>
          <t>Cinema</t>
        </is>
      </c>
      <c r="C27" s="186" t="n">
        <v>0.4649122807017544</v>
      </c>
      <c r="D27" s="186" t="n">
        <v>0.4416243654822335</v>
      </c>
      <c r="E27" s="186" t="n">
        <v>0.4541176470588235</v>
      </c>
      <c r="F27" s="186" t="n">
        <v>0.4648318042813456</v>
      </c>
      <c r="G27" s="186" t="n">
        <v>0.4501845018450185</v>
      </c>
      <c r="H27" s="186" t="n">
        <v>0.4581939799331103</v>
      </c>
      <c r="I27" s="186" t="n">
        <v>0.4565004887585533</v>
      </c>
      <c r="J27" s="186" t="n">
        <v>0.4718614718614719</v>
      </c>
      <c r="K27" s="186" t="n">
        <v>0.4534883720930232</v>
      </c>
      <c r="L27" s="186" t="n">
        <v>0.4621676891615542</v>
      </c>
      <c r="M27" s="186" t="n">
        <v>0.4633204633204633</v>
      </c>
      <c r="N27" s="186" t="n">
        <v>0.4633204633204633</v>
      </c>
      <c r="O27" s="186" t="n">
        <v>0.4633204633204633</v>
      </c>
      <c r="P27" s="186" t="n">
        <v>0.4627606752730884</v>
      </c>
      <c r="Q27" s="187" t="n">
        <v>0.006949191159717483</v>
      </c>
      <c r="R27" s="187" t="n">
        <v>0.01186400661078973</v>
      </c>
      <c r="S27" s="187" t="n">
        <v>0.008050042102730692</v>
      </c>
      <c r="T27" s="187" t="n">
        <v>-0.001511340960882235</v>
      </c>
      <c r="U27" s="153" t="n"/>
      <c r="V27" s="153" t="n"/>
      <c r="W27" s="153" t="n"/>
    </row>
    <row r="28" ht="18" customHeight="1">
      <c r="A28" s="145" t="inlineStr">
        <is>
          <t>CAPEX</t>
        </is>
      </c>
    </row>
    <row r="29" ht="16" customHeight="1">
      <c r="A29" s="146" t="inlineStr">
        <is>
          <t>CAPEX</t>
        </is>
      </c>
      <c r="B29" s="146" t="inlineStr">
        <is>
          <t>Total</t>
        </is>
      </c>
      <c r="C29" s="185" t="n">
        <v>105500000</v>
      </c>
      <c r="D29" s="185" t="n">
        <v>111000000</v>
      </c>
      <c r="E29" s="185" t="n">
        <v>216500000</v>
      </c>
      <c r="F29" s="185" t="n">
        <v>118400000</v>
      </c>
      <c r="G29" s="185" t="n">
        <v>122200000</v>
      </c>
      <c r="H29" s="185" t="n">
        <v>240600000</v>
      </c>
      <c r="I29" s="185" t="n">
        <v>457100000</v>
      </c>
      <c r="J29" s="185" t="n">
        <v>107000000</v>
      </c>
      <c r="K29" s="185" t="n">
        <v>120700000</v>
      </c>
      <c r="L29" s="185" t="n">
        <v>227700000</v>
      </c>
      <c r="M29" s="185" t="n">
        <v>112600000</v>
      </c>
      <c r="N29" s="185" t="n">
        <v>112600000</v>
      </c>
      <c r="O29" s="185" t="n">
        <v>225200000</v>
      </c>
      <c r="P29" s="185" t="n">
        <v>452900000</v>
      </c>
      <c r="Q29" s="186" t="n">
        <v>0.01421800947867299</v>
      </c>
      <c r="R29" s="186" t="n">
        <v>0.08738738738738738</v>
      </c>
      <c r="S29" s="186" t="n">
        <v>0.05173210161662817</v>
      </c>
      <c r="T29" s="186" t="n">
        <v>-0.04898648648648649</v>
      </c>
      <c r="U29" s="150" t="n"/>
      <c r="V29" s="186" t="n">
        <v>-0.06400665004156277</v>
      </c>
      <c r="W29" s="186" t="n">
        <v>-0.009188361408882083</v>
      </c>
    </row>
    <row r="30" ht="18" customHeight="1">
      <c r="A30" s="145" t="inlineStr">
        <is>
          <t>Operational KPI's</t>
        </is>
      </c>
    </row>
    <row r="31" ht="24" customHeight="1">
      <c r="A31" s="154" t="inlineStr">
        <is>
          <t>KPIs operacionais — disponíveis nos comunicados trimestrais NOS SGPS (investor.nos.pt).</t>
        </is>
      </c>
    </row>
    <row r="33">
      <c r="A33" s="224" t="inlineStr">
        <is>
          <t>Operational KPI's</t>
        </is>
      </c>
    </row>
    <row r="34">
      <c r="A34" s="225" t="inlineStr">
        <is>
          <t>Quota Mercado</t>
        </is>
      </c>
    </row>
    <row r="35">
      <c r="A35" s="225" t="inlineStr">
        <is>
          <t>Quota receitas retalhistas</t>
        </is>
      </c>
      <c r="B35" s="226" t="inlineStr">
        <is>
          <t>Receitas retalhistas ANACOM 🟡</t>
        </is>
      </c>
      <c r="C35" s="227" t="n">
        <v>0.315</v>
      </c>
      <c r="D35" s="227" t="n">
        <v>0.316</v>
      </c>
      <c r="E35" s="227" t="n">
        <v>0.316</v>
      </c>
      <c r="F35" s="227" t="n">
        <v>0.316</v>
      </c>
      <c r="G35" s="227" t="n">
        <v>0.317</v>
      </c>
      <c r="H35" s="227" t="n">
        <v>0.317</v>
      </c>
      <c r="I35" s="227" t="n">
        <v>0.317</v>
      </c>
      <c r="J35" s="227" t="n">
        <v>0.315</v>
      </c>
      <c r="K35" s="227" t="n">
        <v>0.316</v>
      </c>
      <c r="L35" s="227" t="n">
        <v>0.316</v>
      </c>
      <c r="M35" s="227" t="n">
        <v>0.316</v>
      </c>
      <c r="Q35" s="227" t="n">
        <v>0</v>
      </c>
      <c r="R35" s="227" t="n">
        <v>0</v>
      </c>
      <c r="S35" s="227" t="n">
        <v>0</v>
      </c>
      <c r="T35" s="227" t="n">
        <v>0</v>
      </c>
    </row>
    <row r="36">
      <c r="A36" s="225" t="inlineStr">
        <is>
          <t>Clientes (Estimativa ANACOM)</t>
        </is>
      </c>
    </row>
    <row r="37">
      <c r="A37" s="225" t="inlineStr">
        <is>
          <t>Mobile customers</t>
        </is>
      </c>
      <c r="B37" s="226" t="inlineStr">
        <is>
          <t>Estimativa ('000) 🟠</t>
        </is>
      </c>
      <c r="C37" s="228" t="n">
        <v>5748</v>
      </c>
      <c r="D37" s="228" t="n">
        <v>5768</v>
      </c>
      <c r="E37" s="228" t="n">
        <v>5768</v>
      </c>
      <c r="F37" s="228" t="n">
        <v>5853</v>
      </c>
      <c r="G37" s="228" t="n">
        <v>5773</v>
      </c>
      <c r="H37" s="228" t="n">
        <v>5773</v>
      </c>
      <c r="I37" s="228" t="n">
        <v>5773</v>
      </c>
      <c r="J37" s="228" t="n">
        <v>5688</v>
      </c>
      <c r="K37" s="228" t="n">
        <v>5661</v>
      </c>
      <c r="L37" s="228" t="n">
        <v>5661</v>
      </c>
      <c r="M37" s="228" t="n">
        <v>5721</v>
      </c>
      <c r="N37" s="228" t="n">
        <v>5721</v>
      </c>
      <c r="O37" s="228" t="n">
        <v>5721</v>
      </c>
      <c r="P37" s="228" t="n">
        <v>5721</v>
      </c>
      <c r="Q37" s="229" t="n">
        <v>-0.0104384133611691</v>
      </c>
      <c r="R37" s="229" t="n">
        <v>-0.0185506241331484</v>
      </c>
      <c r="S37" s="229" t="n">
        <v>-0.0185506241331484</v>
      </c>
      <c r="T37" s="229" t="n">
        <v>-0.02255253716043055</v>
      </c>
      <c r="U37" s="229" t="n">
        <v>-0.009007448467001558</v>
      </c>
      <c r="V37" s="229" t="n">
        <v>-0.009007448467001558</v>
      </c>
      <c r="W37" s="229" t="n">
        <v>-0.009007448467001558</v>
      </c>
    </row>
    <row r="38">
      <c r="A38" s="225" t="inlineStr">
        <is>
          <t>TV customers</t>
        </is>
      </c>
      <c r="B38" s="226" t="inlineStr">
        <is>
          <t>Estimativa ('000) 🟠</t>
        </is>
      </c>
      <c r="C38" s="228" t="n">
        <v>1537</v>
      </c>
      <c r="D38" s="228" t="n">
        <v>1541</v>
      </c>
      <c r="E38" s="228" t="n">
        <v>1541</v>
      </c>
      <c r="F38" s="228" t="n">
        <v>1548</v>
      </c>
      <c r="G38" s="228" t="n">
        <v>1552</v>
      </c>
      <c r="H38" s="228" t="n">
        <v>1552</v>
      </c>
      <c r="I38" s="228" t="n">
        <v>1552</v>
      </c>
      <c r="J38" s="228" t="n">
        <v>1551</v>
      </c>
      <c r="K38" s="228" t="n">
        <v>1551</v>
      </c>
      <c r="L38" s="228" t="n">
        <v>1551</v>
      </c>
      <c r="M38" s="228" t="n">
        <v>1555</v>
      </c>
      <c r="N38" s="228" t="n">
        <v>1555</v>
      </c>
      <c r="O38" s="228" t="n">
        <v>1555</v>
      </c>
      <c r="P38" s="228" t="n">
        <v>1555</v>
      </c>
      <c r="Q38" s="229" t="n">
        <v>0.009108653220559532</v>
      </c>
      <c r="R38" s="229" t="n">
        <v>0.006489292667099286</v>
      </c>
      <c r="S38" s="229" t="n">
        <v>0.006489292667099286</v>
      </c>
      <c r="T38" s="229" t="n">
        <v>0.004521963824289405</v>
      </c>
      <c r="U38" s="229" t="n">
        <v>0.00193298969072165</v>
      </c>
      <c r="V38" s="229" t="n">
        <v>0.00193298969072165</v>
      </c>
      <c r="W38" s="229" t="n">
        <v>0.00193298969072165</v>
      </c>
    </row>
    <row r="39">
      <c r="A39" s="225" t="inlineStr">
        <is>
          <t>Internet Fixa</t>
        </is>
      </c>
      <c r="B39" s="226" t="inlineStr">
        <is>
          <t>Estimativa ('000) 🟠</t>
        </is>
      </c>
      <c r="C39" s="228" t="n">
        <v>1397</v>
      </c>
      <c r="D39" s="228" t="n">
        <v>1403</v>
      </c>
      <c r="E39" s="228" t="n">
        <v>1403</v>
      </c>
      <c r="F39" s="228" t="n">
        <v>1413</v>
      </c>
      <c r="G39" s="228" t="n">
        <v>1422</v>
      </c>
      <c r="H39" s="228" t="n">
        <v>1422</v>
      </c>
      <c r="I39" s="228" t="n">
        <v>1422</v>
      </c>
      <c r="J39" s="228" t="n">
        <v>1426</v>
      </c>
      <c r="K39" s="228" t="n">
        <v>1432</v>
      </c>
      <c r="L39" s="228" t="n">
        <v>1432</v>
      </c>
      <c r="M39" s="228" t="n">
        <v>1441</v>
      </c>
      <c r="N39" s="228" t="n">
        <v>1441</v>
      </c>
      <c r="O39" s="228" t="n">
        <v>1441</v>
      </c>
      <c r="P39" s="228" t="n">
        <v>1441</v>
      </c>
      <c r="Q39" s="229" t="n">
        <v>0.02075876879026485</v>
      </c>
      <c r="R39" s="229" t="n">
        <v>0.02066999287241625</v>
      </c>
      <c r="S39" s="229" t="n">
        <v>0.02066999287241625</v>
      </c>
      <c r="T39" s="229" t="n">
        <v>0.01981599433828733</v>
      </c>
      <c r="U39" s="229" t="n">
        <v>0.01336146272855134</v>
      </c>
      <c r="V39" s="229" t="n">
        <v>0.01336146272855134</v>
      </c>
      <c r="W39" s="229" t="n">
        <v>0.01336146272855134</v>
      </c>
    </row>
    <row r="40">
      <c r="A40" s="230" t="inlineStr">
        <is>
          <t>🟡 Quota: ANACOM Factos &amp; Números 3T2025 — Grupo NOS (série histórica). 🟠 Clientes estimados: total mercado ANACOM × quota de assinantes Q3'25 (fixo): Móvel 31.0% | TV 35.8% | BB fixa 33.4%. CYQ4'25 clientes = estimativa baseada em CYQ3'25. NOS SGPS é cotada (Euronext Lisboa) — dados reais disponíveis nos relatórios trimestrais.</t>
        </is>
      </c>
    </row>
  </sheetData>
  <mergeCells count="9">
    <mergeCell ref="A13:W13"/>
    <mergeCell ref="A5:W5"/>
    <mergeCell ref="A1:W1"/>
    <mergeCell ref="A31:W31"/>
    <mergeCell ref="A3:W3"/>
    <mergeCell ref="A30:W30"/>
    <mergeCell ref="A28:W28"/>
    <mergeCell ref="A2:W2"/>
    <mergeCell ref="A19:W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22" customHeight="1">
      <c r="A1" s="204" t="inlineStr">
        <is>
          <t>MERCADO PORTUGUÊS DE TELECOMUNICAÇÕES — Dados ANACOM</t>
        </is>
      </c>
    </row>
    <row r="2" ht="16" customHeight="1">
      <c r="A2" s="143" t="inlineStr">
        <is>
          <t>🟡 Fonte: ANACOM Factos &amp; Números Q3 2025 (anacom.pt)  |  Actualização: Nov 2025  |  Dados sujeitos a revisão</t>
        </is>
      </c>
    </row>
    <row r="3" ht="26" customHeight="1">
      <c r="A3" s="144" t="inlineStr">
        <is>
          <t>KPI</t>
        </is>
      </c>
      <c r="B3" s="144" t="inlineStr">
        <is>
          <t>Unidade</t>
        </is>
      </c>
      <c r="C3" s="144" t="inlineStr">
        <is>
          <t>CYQ1'24</t>
        </is>
      </c>
      <c r="D3" s="144" t="inlineStr">
        <is>
          <t>CYQ2'24</t>
        </is>
      </c>
      <c r="E3" s="144" t="inlineStr">
        <is>
          <t>H1'24</t>
        </is>
      </c>
      <c r="F3" s="144" t="inlineStr">
        <is>
          <t>CYQ3'24</t>
        </is>
      </c>
      <c r="G3" s="144" t="inlineStr">
        <is>
          <t>CYQ4'24</t>
        </is>
      </c>
      <c r="H3" s="144" t="inlineStr">
        <is>
          <t>H2'24</t>
        </is>
      </c>
      <c r="I3" s="144" t="inlineStr">
        <is>
          <t>CY'24</t>
        </is>
      </c>
      <c r="J3" s="144" t="inlineStr">
        <is>
          <t>CYQ1'25</t>
        </is>
      </c>
      <c r="K3" s="144" t="inlineStr">
        <is>
          <t>CYQ2'25</t>
        </is>
      </c>
      <c r="L3" s="144" t="inlineStr">
        <is>
          <t>H1'25</t>
        </is>
      </c>
      <c r="M3" s="144" t="inlineStr">
        <is>
          <t>CYQ3'25</t>
        </is>
      </c>
      <c r="N3" s="144" t="inlineStr">
        <is>
          <t>CYQ4'25</t>
        </is>
      </c>
      <c r="O3" s="144" t="inlineStr">
        <is>
          <t>H2'25</t>
        </is>
      </c>
      <c r="P3" s="144" t="inlineStr">
        <is>
          <t>CY'25</t>
        </is>
      </c>
      <c r="Q3" s="144" t="inlineStr">
        <is>
          <t>Y/Y Q1'25</t>
        </is>
      </c>
      <c r="R3" s="144" t="inlineStr">
        <is>
          <t>Y/Y Q2'25</t>
        </is>
      </c>
      <c r="S3" s="144" t="inlineStr">
        <is>
          <t>Y/Y H1</t>
        </is>
      </c>
      <c r="T3" s="144" t="inlineStr">
        <is>
          <t>Y/Y Q3'25</t>
        </is>
      </c>
      <c r="U3" s="144" t="inlineStr">
        <is>
          <t>Y/Y Q4'25</t>
        </is>
      </c>
      <c r="V3" s="144" t="inlineStr">
        <is>
          <t>Y/Y H2</t>
        </is>
      </c>
      <c r="W3" s="144" t="inlineStr">
        <is>
          <t>Y/Y '25</t>
        </is>
      </c>
    </row>
    <row r="4" ht="18" customHeight="1">
      <c r="A4" s="145" t="inlineStr">
        <is>
          <t>SUBSCRITORES — Total Mercado PT (000s, fim de período)</t>
        </is>
      </c>
    </row>
    <row r="5" ht="16" customHeight="1">
      <c r="A5" s="195" t="inlineStr">
        <is>
          <t>Acessos Móveis</t>
        </is>
      </c>
      <c r="B5" s="195" t="inlineStr">
        <is>
          <t>Total ('000) 🟡</t>
        </is>
      </c>
      <c r="C5" s="205" t="n">
        <v>18540.5</v>
      </c>
      <c r="D5" s="205" t="n">
        <v>18607</v>
      </c>
      <c r="E5" s="205" t="n">
        <v>18607</v>
      </c>
      <c r="F5" s="205" t="n">
        <v>18881.2</v>
      </c>
      <c r="G5" s="205" t="n">
        <v>18622.6</v>
      </c>
      <c r="H5" s="205" t="n">
        <v>18622.6</v>
      </c>
      <c r="I5" s="205" t="n">
        <v>18622.6</v>
      </c>
      <c r="J5" s="205" t="n">
        <v>18347.7</v>
      </c>
      <c r="K5" s="205" t="n">
        <v>18261.2</v>
      </c>
      <c r="L5" s="205" t="n">
        <v>18261.2</v>
      </c>
      <c r="M5" s="205" t="n">
        <v>18453.7</v>
      </c>
      <c r="N5" s="206" t="n"/>
      <c r="O5" s="206" t="n"/>
      <c r="P5" s="206" t="n"/>
      <c r="Q5" s="207" t="n">
        <v>-0.01039885655726649</v>
      </c>
      <c r="R5" s="207" t="n">
        <v>-0.01858440371903043</v>
      </c>
      <c r="S5" s="207" t="n">
        <v>-0.01858440371903043</v>
      </c>
      <c r="T5" s="207" t="n">
        <v>-0.02264156939177595</v>
      </c>
      <c r="U5" s="208" t="n"/>
      <c r="V5" s="208" t="n"/>
      <c r="W5" s="208" t="n"/>
    </row>
    <row r="6" ht="16" customHeight="1">
      <c r="A6" s="209" t="inlineStr"/>
      <c r="B6" s="195" t="inlineStr">
        <is>
          <t>Efectivos ('000) 🟡</t>
        </is>
      </c>
      <c r="C6" s="205" t="n">
        <v>13507.2</v>
      </c>
      <c r="D6" s="205" t="n">
        <v>13620.8</v>
      </c>
      <c r="E6" s="205" t="n">
        <v>13620.8</v>
      </c>
      <c r="F6" s="205" t="n">
        <v>13543.7</v>
      </c>
      <c r="G6" s="205" t="n">
        <v>13571.8</v>
      </c>
      <c r="H6" s="205" t="n">
        <v>13571.8</v>
      </c>
      <c r="I6" s="205" t="n">
        <v>13571.8</v>
      </c>
      <c r="J6" s="205" t="n">
        <v>13532.7</v>
      </c>
      <c r="K6" s="205" t="n">
        <v>13493.5</v>
      </c>
      <c r="L6" s="205" t="n">
        <v>13493.5</v>
      </c>
      <c r="M6" s="205" t="n">
        <v>13486.5</v>
      </c>
      <c r="N6" s="206" t="n"/>
      <c r="O6" s="206" t="n"/>
      <c r="P6" s="206" t="n"/>
      <c r="Q6" s="207" t="n">
        <v>0.001887882018479033</v>
      </c>
      <c r="R6" s="207" t="n">
        <v>-0.009346000234934752</v>
      </c>
      <c r="S6" s="207" t="n">
        <v>-0.009346000234934752</v>
      </c>
      <c r="T6" s="207" t="n">
        <v>-0.004223365845374655</v>
      </c>
      <c r="U6" s="208" t="n"/>
      <c r="V6" s="208" t="n"/>
      <c r="W6" s="208" t="n"/>
    </row>
    <row r="7" ht="16" customHeight="1">
      <c r="A7" s="195" t="inlineStr">
        <is>
          <t>Voz Fixa</t>
        </is>
      </c>
      <c r="B7" s="195" t="inlineStr">
        <is>
          <t>Clientes ('000) 🟡</t>
        </is>
      </c>
      <c r="C7" s="205" t="n">
        <v>4449.1</v>
      </c>
      <c r="D7" s="205" t="n">
        <v>4456.9</v>
      </c>
      <c r="E7" s="205" t="n">
        <v>4456.9</v>
      </c>
      <c r="F7" s="205" t="n">
        <v>4466.3</v>
      </c>
      <c r="G7" s="205" t="n">
        <v>4469.7</v>
      </c>
      <c r="H7" s="205" t="n">
        <v>4469.7</v>
      </c>
      <c r="I7" s="205" t="n">
        <v>4469.7</v>
      </c>
      <c r="J7" s="205" t="n">
        <v>4453.7</v>
      </c>
      <c r="K7" s="205" t="n">
        <v>4436.4</v>
      </c>
      <c r="L7" s="205" t="n">
        <v>4436.4</v>
      </c>
      <c r="M7" s="205" t="n">
        <v>4431.8</v>
      </c>
      <c r="N7" s="206" t="n"/>
      <c r="O7" s="206" t="n"/>
      <c r="P7" s="206" t="n"/>
      <c r="Q7" s="207" t="n">
        <v>0.001033916971971737</v>
      </c>
      <c r="R7" s="207" t="n">
        <v>-0.0045996095941125</v>
      </c>
      <c r="S7" s="207" t="n">
        <v>-0.0045996095941125</v>
      </c>
      <c r="T7" s="207" t="n">
        <v>-0.007724514698967825</v>
      </c>
      <c r="U7" s="208" t="n"/>
      <c r="V7" s="208" t="n"/>
      <c r="W7" s="208" t="n"/>
    </row>
    <row r="8" ht="16" customHeight="1">
      <c r="A8" s="195" t="inlineStr">
        <is>
          <t>TV Subscrição</t>
        </is>
      </c>
      <c r="B8" s="195" t="inlineStr">
        <is>
          <t>Clientes ('000) 🟡</t>
        </is>
      </c>
      <c r="C8" s="205" t="n">
        <v>4292.8</v>
      </c>
      <c r="D8" s="205" t="n">
        <v>4305.7</v>
      </c>
      <c r="E8" s="205" t="n">
        <v>4305.7</v>
      </c>
      <c r="F8" s="205" t="n">
        <v>4323.6</v>
      </c>
      <c r="G8" s="205" t="n">
        <v>4335.2</v>
      </c>
      <c r="H8" s="205" t="n">
        <v>4335.2</v>
      </c>
      <c r="I8" s="205" t="n">
        <v>4335.2</v>
      </c>
      <c r="J8" s="205" t="n">
        <v>4331.8</v>
      </c>
      <c r="K8" s="205" t="n">
        <v>4333</v>
      </c>
      <c r="L8" s="205" t="n">
        <v>4333</v>
      </c>
      <c r="M8" s="205" t="n">
        <v>4342.8</v>
      </c>
      <c r="N8" s="206" t="n"/>
      <c r="O8" s="206" t="n"/>
      <c r="P8" s="206" t="n"/>
      <c r="Q8" s="207" t="n">
        <v>0.009084979500559075</v>
      </c>
      <c r="R8" s="207" t="n">
        <v>0.006340432450008171</v>
      </c>
      <c r="S8" s="207" t="n">
        <v>0.006340432450008171</v>
      </c>
      <c r="T8" s="207" t="n">
        <v>0.004440743824590577</v>
      </c>
      <c r="U8" s="208" t="n"/>
      <c r="V8" s="208" t="n"/>
      <c r="W8" s="208" t="n"/>
    </row>
    <row r="9" ht="16" customHeight="1">
      <c r="A9" s="195" t="inlineStr">
        <is>
          <t>Internet Fixa</t>
        </is>
      </c>
      <c r="B9" s="195" t="inlineStr">
        <is>
          <t>Clientes ('000) 🟡</t>
        </is>
      </c>
      <c r="C9" s="205" t="n">
        <v>4181.4</v>
      </c>
      <c r="D9" s="205" t="n">
        <v>4201.9</v>
      </c>
      <c r="E9" s="205" t="n">
        <v>4201.9</v>
      </c>
      <c r="F9" s="205" t="n">
        <v>4230.3</v>
      </c>
      <c r="G9" s="205" t="n">
        <v>4257.3</v>
      </c>
      <c r="H9" s="205" t="n">
        <v>4257.3</v>
      </c>
      <c r="I9" s="205" t="n">
        <v>4257.3</v>
      </c>
      <c r="J9" s="205" t="n">
        <v>4269.4</v>
      </c>
      <c r="K9" s="205" t="n">
        <v>4287.1</v>
      </c>
      <c r="L9" s="205" t="n">
        <v>4287.1</v>
      </c>
      <c r="M9" s="205" t="n">
        <v>4315.5</v>
      </c>
      <c r="N9" s="206" t="n"/>
      <c r="O9" s="206" t="n"/>
      <c r="P9" s="206" t="n"/>
      <c r="Q9" s="207" t="n">
        <v>0.02104558281915148</v>
      </c>
      <c r="R9" s="207" t="n">
        <v>0.02027654156453051</v>
      </c>
      <c r="S9" s="207" t="n">
        <v>0.02027654156453051</v>
      </c>
      <c r="T9" s="207" t="n">
        <v>0.02014041557336355</v>
      </c>
      <c r="U9" s="208" t="n"/>
      <c r="V9" s="208" t="n"/>
      <c r="W9" s="208" t="n"/>
    </row>
    <row r="10" ht="16" customHeight="1">
      <c r="A10" s="195" t="inlineStr">
        <is>
          <t>Pacotes (total)</t>
        </is>
      </c>
      <c r="B10" s="195" t="inlineStr">
        <is>
          <t>Subscritores ('000) 🟡</t>
        </is>
      </c>
      <c r="C10" s="205" t="n">
        <v>4682.1</v>
      </c>
      <c r="D10" s="205" t="n">
        <v>4703.9</v>
      </c>
      <c r="E10" s="205" t="n">
        <v>4703.9</v>
      </c>
      <c r="F10" s="205" t="n">
        <v>4729.7</v>
      </c>
      <c r="G10" s="205" t="n">
        <v>4747.4</v>
      </c>
      <c r="H10" s="205" t="n">
        <v>4747.4</v>
      </c>
      <c r="I10" s="205" t="n">
        <v>4747.4</v>
      </c>
      <c r="J10" s="205" t="n">
        <v>4748.4</v>
      </c>
      <c r="K10" s="205" t="n">
        <v>4753.1</v>
      </c>
      <c r="L10" s="205" t="n">
        <v>4753.1</v>
      </c>
      <c r="M10" s="205" t="n">
        <v>4773.8</v>
      </c>
      <c r="N10" s="206" t="n"/>
      <c r="O10" s="206" t="n"/>
      <c r="P10" s="206" t="n"/>
      <c r="Q10" s="207" t="n">
        <v>0.01416031268020744</v>
      </c>
      <c r="R10" s="207" t="n">
        <v>0.0104594060247881</v>
      </c>
      <c r="S10" s="207" t="n">
        <v>0.0104594060247881</v>
      </c>
      <c r="T10" s="207" t="n">
        <v>0.009324058608368473</v>
      </c>
      <c r="U10" s="208" t="n"/>
      <c r="V10" s="208" t="n"/>
      <c r="W10" s="208" t="n"/>
    </row>
    <row r="11" ht="16" customHeight="1">
      <c r="A11" s="209" t="inlineStr"/>
      <c r="B11" s="195" t="inlineStr">
        <is>
          <t>3P Triple Play ('000) 🟡</t>
        </is>
      </c>
      <c r="C11" s="205" t="n">
        <v>1640.9</v>
      </c>
      <c r="D11" s="205" t="n">
        <v>1621.7</v>
      </c>
      <c r="E11" s="205" t="n">
        <v>1621.7</v>
      </c>
      <c r="F11" s="205" t="n">
        <v>1600.5</v>
      </c>
      <c r="G11" s="205" t="n">
        <v>1574.7</v>
      </c>
      <c r="H11" s="205" t="n">
        <v>1574.7</v>
      </c>
      <c r="I11" s="205" t="n">
        <v>1574.7</v>
      </c>
      <c r="J11" s="205" t="n">
        <v>1540.9</v>
      </c>
      <c r="K11" s="205" t="n">
        <v>1511.7</v>
      </c>
      <c r="L11" s="205" t="n">
        <v>1511.7</v>
      </c>
      <c r="M11" s="205" t="n">
        <v>1474.6</v>
      </c>
      <c r="N11" s="206" t="n"/>
      <c r="O11" s="206" t="n"/>
      <c r="P11" s="206" t="n"/>
      <c r="Q11" s="207" t="n">
        <v>-0.06094216588457554</v>
      </c>
      <c r="R11" s="207" t="n">
        <v>-0.06783005488068077</v>
      </c>
      <c r="S11" s="207" t="n">
        <v>-0.06783005488068077</v>
      </c>
      <c r="T11" s="207" t="n">
        <v>-0.07866291783817562</v>
      </c>
      <c r="U11" s="208" t="n"/>
      <c r="V11" s="208" t="n"/>
      <c r="W11" s="208" t="n"/>
    </row>
    <row r="12" ht="16" customHeight="1">
      <c r="A12" s="209" t="inlineStr"/>
      <c r="B12" s="195" t="inlineStr">
        <is>
          <t>4P/5P Quadruple+ ('000) 🟡</t>
        </is>
      </c>
      <c r="C12" s="205" t="n">
        <v>2641</v>
      </c>
      <c r="D12" s="205" t="n">
        <v>2680.8</v>
      </c>
      <c r="E12" s="205" t="n">
        <v>2680.8</v>
      </c>
      <c r="F12" s="205" t="n">
        <v>2726.4</v>
      </c>
      <c r="G12" s="205" t="n">
        <v>2767.4</v>
      </c>
      <c r="H12" s="205" t="n">
        <v>2767.4</v>
      </c>
      <c r="I12" s="205" t="n">
        <v>2767.4</v>
      </c>
      <c r="J12" s="205" t="n">
        <v>2796.3</v>
      </c>
      <c r="K12" s="205" t="n">
        <v>2824.8</v>
      </c>
      <c r="L12" s="205" t="n">
        <v>2824.8</v>
      </c>
      <c r="M12" s="205" t="n">
        <v>2873.8</v>
      </c>
      <c r="N12" s="206" t="n"/>
      <c r="O12" s="206" t="n"/>
      <c r="P12" s="206" t="n"/>
      <c r="Q12" s="207" t="n">
        <v>0.05880348352896637</v>
      </c>
      <c r="R12" s="207" t="n">
        <v>0.05371530886302596</v>
      </c>
      <c r="S12" s="207" t="n">
        <v>0.05371530886302596</v>
      </c>
      <c r="T12" s="207" t="n">
        <v>0.05406396713615027</v>
      </c>
      <c r="U12" s="208" t="n"/>
      <c r="V12" s="208" t="n"/>
      <c r="W12" s="208" t="n"/>
    </row>
    <row r="13" ht="18" customHeight="1">
      <c r="A13" s="145" t="inlineStr">
        <is>
          <t>PENETRAÇÃO — Taxa por 100 habitantes</t>
        </is>
      </c>
    </row>
    <row r="14" ht="16" customHeight="1">
      <c r="A14" s="195" t="inlineStr">
        <is>
          <t>Voz Fixa</t>
        </is>
      </c>
      <c r="B14" s="195" t="inlineStr">
        <is>
          <t>por 100 hab 🟡</t>
        </is>
      </c>
      <c r="C14" s="210" t="n">
        <v>51.7</v>
      </c>
      <c r="D14" s="210" t="n">
        <v>51.8</v>
      </c>
      <c r="E14" s="210" t="n">
        <v>51.8</v>
      </c>
      <c r="F14" s="210" t="n">
        <v>51.9</v>
      </c>
      <c r="G14" s="210" t="n">
        <v>51.4</v>
      </c>
      <c r="H14" s="210" t="n">
        <v>51.4</v>
      </c>
      <c r="I14" s="210" t="n">
        <v>51.4</v>
      </c>
      <c r="J14" s="210" t="n">
        <v>51.2</v>
      </c>
      <c r="K14" s="210" t="n">
        <v>50.9</v>
      </c>
      <c r="L14" s="210" t="n">
        <v>50.9</v>
      </c>
      <c r="M14" s="210" t="n">
        <v>50.7</v>
      </c>
      <c r="N14" s="211" t="n"/>
      <c r="O14" s="211" t="n"/>
      <c r="P14" s="211" t="n"/>
      <c r="Q14" s="207" t="n">
        <v>-0.00967117988394584</v>
      </c>
      <c r="R14" s="207" t="n">
        <v>-0.01737451737451735</v>
      </c>
      <c r="S14" s="207" t="n">
        <v>-0.01737451737451735</v>
      </c>
      <c r="T14" s="207" t="n">
        <v>-0.02312138728323691</v>
      </c>
      <c r="U14" s="208" t="n"/>
      <c r="V14" s="208" t="n"/>
      <c r="W14" s="208" t="n"/>
    </row>
    <row r="15" ht="16" customHeight="1">
      <c r="A15" s="195" t="inlineStr">
        <is>
          <t>Voz Móvel</t>
        </is>
      </c>
      <c r="B15" s="195" t="inlineStr">
        <is>
          <t>por 100 hab 🟡</t>
        </is>
      </c>
      <c r="C15" s="210" t="n">
        <v>174.3</v>
      </c>
      <c r="D15" s="210" t="n">
        <v>174.9</v>
      </c>
      <c r="E15" s="210" t="n">
        <v>174.9</v>
      </c>
      <c r="F15" s="210" t="n">
        <v>177.5</v>
      </c>
      <c r="G15" s="210" t="n">
        <v>173.2</v>
      </c>
      <c r="H15" s="210" t="n">
        <v>173.2</v>
      </c>
      <c r="I15" s="210" t="n">
        <v>173.2</v>
      </c>
      <c r="J15" s="210" t="n">
        <v>170.7</v>
      </c>
      <c r="K15" s="210" t="n">
        <v>169.9</v>
      </c>
      <c r="L15" s="210" t="n">
        <v>169.9</v>
      </c>
      <c r="M15" s="210" t="n">
        <v>171.7</v>
      </c>
      <c r="N15" s="211" t="n"/>
      <c r="O15" s="211" t="n"/>
      <c r="P15" s="211" t="n"/>
      <c r="Q15" s="207" t="n">
        <v>-0.02065404475043042</v>
      </c>
      <c r="R15" s="207" t="n">
        <v>-0.02858776443682104</v>
      </c>
      <c r="S15" s="207" t="n">
        <v>-0.02858776443682104</v>
      </c>
      <c r="T15" s="207" t="n">
        <v>-0.03267605633802823</v>
      </c>
      <c r="U15" s="208" t="n"/>
      <c r="V15" s="208" t="n"/>
      <c r="W15" s="208" t="n"/>
    </row>
    <row r="16" ht="16" customHeight="1">
      <c r="A16" s="195" t="inlineStr">
        <is>
          <t>Internet Fixa</t>
        </is>
      </c>
      <c r="B16" s="195" t="inlineStr">
        <is>
          <t>por 100 hab 🟡</t>
        </is>
      </c>
      <c r="C16" s="210" t="n">
        <v>43.5</v>
      </c>
      <c r="D16" s="210" t="n">
        <v>43.7</v>
      </c>
      <c r="E16" s="210" t="n">
        <v>43.7</v>
      </c>
      <c r="F16" s="210" t="n">
        <v>44</v>
      </c>
      <c r="G16" s="210" t="n">
        <v>43.9</v>
      </c>
      <c r="H16" s="210" t="n">
        <v>43.9</v>
      </c>
      <c r="I16" s="210" t="n">
        <v>43.9</v>
      </c>
      <c r="J16" s="210" t="n">
        <v>44</v>
      </c>
      <c r="K16" s="210" t="n">
        <v>44.2</v>
      </c>
      <c r="L16" s="210" t="n">
        <v>44.2</v>
      </c>
      <c r="M16" s="210" t="n">
        <v>44.6</v>
      </c>
      <c r="N16" s="211" t="n"/>
      <c r="O16" s="211" t="n"/>
      <c r="P16" s="211" t="n"/>
      <c r="Q16" s="207" t="n">
        <v>0.01149425287356322</v>
      </c>
      <c r="R16" s="207" t="n">
        <v>0.011441647597254</v>
      </c>
      <c r="S16" s="207" t="n">
        <v>0.011441647597254</v>
      </c>
      <c r="T16" s="207" t="n">
        <v>0.01363636363636367</v>
      </c>
      <c r="U16" s="208" t="n"/>
      <c r="V16" s="208" t="n"/>
      <c r="W16" s="208" t="n"/>
    </row>
    <row r="17" ht="16" customHeight="1">
      <c r="A17" s="195" t="inlineStr">
        <is>
          <t>Banda Larga Móvel</t>
        </is>
      </c>
      <c r="B17" s="195" t="inlineStr">
        <is>
          <t>por 100 hab 🟡</t>
        </is>
      </c>
      <c r="C17" s="210" t="n">
        <v>100.2</v>
      </c>
      <c r="D17" s="210" t="n">
        <v>101</v>
      </c>
      <c r="E17" s="210" t="n">
        <v>101</v>
      </c>
      <c r="F17" s="210" t="n">
        <v>101.1</v>
      </c>
      <c r="G17" s="210" t="n">
        <v>99.90000000000001</v>
      </c>
      <c r="H17" s="210" t="n">
        <v>99.90000000000001</v>
      </c>
      <c r="I17" s="210" t="n">
        <v>99.90000000000001</v>
      </c>
      <c r="J17" s="210" t="n">
        <v>99.40000000000001</v>
      </c>
      <c r="K17" s="210" t="n">
        <v>100.5</v>
      </c>
      <c r="L17" s="210" t="n">
        <v>100.5</v>
      </c>
      <c r="M17" s="210" t="n">
        <v>103.8</v>
      </c>
      <c r="N17" s="211" t="n"/>
      <c r="O17" s="211" t="n"/>
      <c r="P17" s="211" t="n"/>
      <c r="Q17" s="207" t="n">
        <v>-0.007984031936127716</v>
      </c>
      <c r="R17" s="207" t="n">
        <v>-0.004950495049504951</v>
      </c>
      <c r="S17" s="207" t="n">
        <v>-0.004950495049504951</v>
      </c>
      <c r="T17" s="207" t="n">
        <v>0.02670623145400597</v>
      </c>
      <c r="U17" s="208" t="n"/>
      <c r="V17" s="208" t="n"/>
      <c r="W17" s="208" t="n"/>
    </row>
    <row r="18" ht="16" customHeight="1">
      <c r="A18" s="195" t="inlineStr">
        <is>
          <t>TV Subscrição</t>
        </is>
      </c>
      <c r="B18" s="195" t="inlineStr">
        <is>
          <t>por 100 hab 🟡</t>
        </is>
      </c>
      <c r="C18" s="210" t="n">
        <v>43.2</v>
      </c>
      <c r="D18" s="210" t="n">
        <v>43.4</v>
      </c>
      <c r="E18" s="210" t="n">
        <v>43.4</v>
      </c>
      <c r="F18" s="210" t="n">
        <v>43.6</v>
      </c>
      <c r="G18" s="210" t="n">
        <v>43.3</v>
      </c>
      <c r="H18" s="210" t="n">
        <v>43.3</v>
      </c>
      <c r="I18" s="210" t="n">
        <v>43.3</v>
      </c>
      <c r="J18" s="210" t="n">
        <v>43.3</v>
      </c>
      <c r="K18" s="210" t="n">
        <v>43.3</v>
      </c>
      <c r="L18" s="210" t="n">
        <v>43.3</v>
      </c>
      <c r="M18" s="210" t="n">
        <v>43.5</v>
      </c>
      <c r="N18" s="211" t="n"/>
      <c r="O18" s="211" t="n"/>
      <c r="P18" s="211" t="n"/>
      <c r="Q18" s="207" t="n">
        <v>0.002314814814814683</v>
      </c>
      <c r="R18" s="207" t="n">
        <v>-0.002304147465437821</v>
      </c>
      <c r="S18" s="207" t="n">
        <v>-0.002304147465437821</v>
      </c>
      <c r="T18" s="207" t="n">
        <v>-0.002293577981651409</v>
      </c>
      <c r="U18" s="208" t="n"/>
      <c r="V18" s="208" t="n"/>
      <c r="W18" s="208" t="n"/>
    </row>
    <row r="19" ht="18" customHeight="1">
      <c r="A19" s="145" t="inlineStr">
        <is>
          <t>QUOTAS DE RECEITAS RETALHISTAS — Por Operador (ANACOM)</t>
        </is>
      </c>
    </row>
    <row r="20" ht="14" customHeight="1">
      <c r="A20" s="154" t="inlineStr">
        <is>
          <t>Quotas sobre receitas retalhistas totais (fixo+móvel+pacotes). DIGI entrou em Ago'24.</t>
        </is>
      </c>
    </row>
    <row r="21" ht="16" customHeight="1">
      <c r="A21" s="212" t="inlineStr">
        <is>
          <t>MEO (Altice PT)</t>
        </is>
      </c>
      <c r="B21" s="212" t="inlineStr">
        <is>
          <t>Quota retalhista 🟡</t>
        </is>
      </c>
      <c r="C21" s="213" t="n">
        <v>0.374</v>
      </c>
      <c r="D21" s="213" t="n">
        <v>0.372</v>
      </c>
      <c r="E21" s="213" t="n">
        <v>0.372</v>
      </c>
      <c r="F21" s="213" t="n">
        <v>0.371</v>
      </c>
      <c r="G21" s="213" t="n">
        <v>0.371</v>
      </c>
      <c r="H21" s="213" t="n">
        <v>0.371</v>
      </c>
      <c r="I21" s="213" t="n">
        <v>0.371</v>
      </c>
      <c r="J21" s="213" t="n">
        <v>0.372</v>
      </c>
      <c r="K21" s="213" t="n">
        <v>0.374</v>
      </c>
      <c r="L21" s="213" t="n">
        <v>0.374</v>
      </c>
      <c r="M21" s="213" t="n">
        <v>0.374</v>
      </c>
      <c r="N21" s="197" t="n"/>
      <c r="O21" s="197" t="n"/>
      <c r="P21" s="197" t="n"/>
      <c r="Q21" s="214" t="n">
        <v>-0.002000000000000002</v>
      </c>
      <c r="R21" s="214" t="n">
        <v>0.002000000000000002</v>
      </c>
      <c r="S21" s="214" t="n">
        <v>0.002000000000000002</v>
      </c>
      <c r="T21" s="214" t="n">
        <v>0.003000000000000003</v>
      </c>
      <c r="U21" s="199" t="n"/>
      <c r="V21" s="199" t="n"/>
      <c r="W21" s="199" t="n"/>
    </row>
    <row r="22" ht="16" customHeight="1">
      <c r="A22" s="212" t="inlineStr">
        <is>
          <t>Grupo NOS</t>
        </is>
      </c>
      <c r="B22" s="212" t="inlineStr">
        <is>
          <t>Quota retalhista 🟡</t>
        </is>
      </c>
      <c r="C22" s="215" t="n">
        <v>0.315</v>
      </c>
      <c r="D22" s="215" t="n">
        <v>0.316</v>
      </c>
      <c r="E22" s="215" t="n">
        <v>0.316</v>
      </c>
      <c r="F22" s="215" t="n">
        <v>0.316</v>
      </c>
      <c r="G22" s="215" t="n">
        <v>0.317</v>
      </c>
      <c r="H22" s="215" t="n">
        <v>0.317</v>
      </c>
      <c r="I22" s="215" t="n">
        <v>0.317</v>
      </c>
      <c r="J22" s="215" t="n">
        <v>0.315</v>
      </c>
      <c r="K22" s="215" t="n">
        <v>0.316</v>
      </c>
      <c r="L22" s="215" t="n">
        <v>0.316</v>
      </c>
      <c r="M22" s="215" t="n">
        <v>0.316</v>
      </c>
      <c r="N22" s="197" t="n"/>
      <c r="O22" s="197" t="n"/>
      <c r="P22" s="197" t="n"/>
      <c r="Q22" s="216" t="n">
        <v>0</v>
      </c>
      <c r="R22" s="216" t="n">
        <v>0</v>
      </c>
      <c r="S22" s="216" t="n">
        <v>0</v>
      </c>
      <c r="T22" s="216" t="n">
        <v>0</v>
      </c>
      <c r="U22" s="199" t="n"/>
      <c r="V22" s="199" t="n"/>
      <c r="W22" s="199" t="n"/>
    </row>
    <row r="23" ht="16" customHeight="1">
      <c r="A23" s="212" t="inlineStr">
        <is>
          <t>Vodafone PT</t>
        </is>
      </c>
      <c r="B23" s="212" t="inlineStr">
        <is>
          <t>Quota retalhista 🟡</t>
        </is>
      </c>
      <c r="C23" s="217" t="n">
        <v>0.287</v>
      </c>
      <c r="D23" s="217" t="n">
        <v>0.289</v>
      </c>
      <c r="E23" s="217" t="n">
        <v>0.289</v>
      </c>
      <c r="F23" s="217" t="n">
        <v>0.289</v>
      </c>
      <c r="G23" s="217" t="n">
        <v>0.288</v>
      </c>
      <c r="H23" s="217" t="n">
        <v>0.288</v>
      </c>
      <c r="I23" s="217" t="n">
        <v>0.288</v>
      </c>
      <c r="J23" s="217" t="n">
        <v>0.285</v>
      </c>
      <c r="K23" s="217" t="n">
        <v>0.284</v>
      </c>
      <c r="L23" s="217" t="n">
        <v>0.284</v>
      </c>
      <c r="M23" s="217" t="n">
        <v>0.285</v>
      </c>
      <c r="N23" s="197" t="n"/>
      <c r="O23" s="197" t="n"/>
      <c r="P23" s="197" t="n"/>
      <c r="Q23" s="218" t="n">
        <v>-0.002000000000000002</v>
      </c>
      <c r="R23" s="218" t="n">
        <v>-0.005000000000000004</v>
      </c>
      <c r="S23" s="218" t="n">
        <v>-0.005000000000000004</v>
      </c>
      <c r="T23" s="218" t="n">
        <v>-0.004000000000000004</v>
      </c>
      <c r="U23" s="199" t="n"/>
      <c r="V23" s="199" t="n"/>
      <c r="W23" s="199" t="n"/>
    </row>
    <row r="24" ht="16" customHeight="1">
      <c r="A24" s="212" t="inlineStr">
        <is>
          <t>Grupo DIGI/NOWO</t>
        </is>
      </c>
      <c r="B24" s="212" t="inlineStr">
        <is>
          <t>Quota retalhista 🟡</t>
        </is>
      </c>
      <c r="C24" s="197" t="n"/>
      <c r="D24" s="197" t="n"/>
      <c r="E24" s="197" t="n"/>
      <c r="F24" s="197" t="n"/>
      <c r="G24" s="219" t="n">
        <v>0.015</v>
      </c>
      <c r="H24" s="219" t="n">
        <v>0.015</v>
      </c>
      <c r="I24" s="219" t="n">
        <v>0.015</v>
      </c>
      <c r="J24" s="219" t="n">
        <v>0.017</v>
      </c>
      <c r="K24" s="219" t="n">
        <v>0.015</v>
      </c>
      <c r="L24" s="219" t="n">
        <v>0.015</v>
      </c>
      <c r="M24" s="219" t="n">
        <v>0.014</v>
      </c>
      <c r="N24" s="197" t="n"/>
      <c r="O24" s="197" t="n"/>
      <c r="P24" s="197" t="n"/>
      <c r="Q24" s="199" t="n"/>
      <c r="R24" s="199" t="n"/>
      <c r="S24" s="199" t="n"/>
      <c r="T24" s="199" t="n"/>
      <c r="U24" s="199" t="n"/>
      <c r="V24" s="199" t="n"/>
      <c r="W24" s="199" t="n"/>
    </row>
    <row r="25" ht="18" customHeight="1">
      <c r="A25" s="145" t="inlineStr">
        <is>
          <t>VODAFONE PT — Mobile Data Usage (TB, confirmado Vodafone Group)</t>
        </is>
      </c>
    </row>
    <row r="26" ht="16" customHeight="1">
      <c r="A26" s="195" t="inlineStr">
        <is>
          <t>Mobile Data Usage</t>
        </is>
      </c>
      <c r="B26" s="195" t="inlineStr">
        <is>
          <t>TB (total) ✅</t>
        </is>
      </c>
      <c r="C26" s="200" t="n">
        <v>133936</v>
      </c>
      <c r="D26" s="200" t="n">
        <v>143411</v>
      </c>
      <c r="E26" s="200" t="n">
        <v>277347</v>
      </c>
      <c r="F26" s="200" t="n">
        <v>156873</v>
      </c>
      <c r="G26" s="200" t="n">
        <v>157187</v>
      </c>
      <c r="H26" s="200" t="n">
        <v>314060</v>
      </c>
      <c r="I26" s="200" t="n">
        <v>591407</v>
      </c>
      <c r="J26" s="200" t="n">
        <v>173342</v>
      </c>
      <c r="K26" s="200" t="n">
        <v>194602</v>
      </c>
      <c r="L26" s="200" t="n">
        <v>367944</v>
      </c>
      <c r="M26" s="200" t="n">
        <v>206522</v>
      </c>
      <c r="N26" s="200" t="n">
        <v>211571</v>
      </c>
      <c r="O26" s="200" t="n">
        <v>418093</v>
      </c>
      <c r="P26" s="200" t="n">
        <v>786037</v>
      </c>
      <c r="Q26" s="201" t="n">
        <v>0.2942151475331501</v>
      </c>
      <c r="R26" s="201" t="n">
        <v>0.3569530928589857</v>
      </c>
      <c r="S26" s="201" t="n">
        <v>0.3266557777801815</v>
      </c>
      <c r="T26" s="201" t="n">
        <v>0.3164916843561352</v>
      </c>
      <c r="U26" s="201" t="n">
        <v>0.3459828102832931</v>
      </c>
      <c r="V26" s="201" t="n">
        <v>0.3312519900655926</v>
      </c>
      <c r="W26" s="201" t="n">
        <v>0.3290965443425594</v>
      </c>
    </row>
    <row r="27" ht="20" customHeight="1">
      <c r="A27" s="154" t="inlineStr">
        <is>
          <t>✅ Vodafone Group Q3 FY26 Additional Information, tab 14  |  CY Q4'25 = Q3 FY26 (Out-Dez 2025)  |  🟡 ANACOM dados sujeitos a revisão</t>
        </is>
      </c>
    </row>
    <row r="28" ht="18" customHeight="1">
      <c r="A28" s="145" t="inlineStr">
        <is>
          <t>QUOTAS POR SERVIÇO — Snapshot Q3 2025 (ANACOM Síntese)</t>
        </is>
      </c>
    </row>
    <row r="29" ht="18" customHeight="1">
      <c r="A29" s="144" t="inlineStr">
        <is>
          <t>Operador</t>
        </is>
      </c>
      <c r="B29" s="144" t="inlineStr">
        <is>
          <t>Serviço</t>
        </is>
      </c>
      <c r="C29" s="144" t="inlineStr">
        <is>
          <t>Quota Q3'25</t>
        </is>
      </c>
      <c r="D29" s="144" t="inlineStr">
        <is>
          <t>Fonte</t>
        </is>
      </c>
    </row>
    <row r="30" ht="16" customHeight="1">
      <c r="A30" s="220" t="inlineStr">
        <is>
          <t>MEO</t>
        </is>
      </c>
      <c r="B30" s="221" t="inlineStr">
        <is>
          <t>Voz Fixa</t>
        </is>
      </c>
      <c r="C30" s="222" t="inlineStr">
        <is>
          <t>44.7%</t>
        </is>
      </c>
      <c r="D30" s="165" t="inlineStr">
        <is>
          <t>ANACOM Q3 2025</t>
        </is>
      </c>
    </row>
    <row r="31" ht="16" customHeight="1">
      <c r="A31" s="195" t="inlineStr">
        <is>
          <t>MEO</t>
        </is>
      </c>
      <c r="B31" s="209" t="inlineStr">
        <is>
          <t>Internet Fixa</t>
        </is>
      </c>
      <c r="C31" s="223" t="inlineStr">
        <is>
          <t>41.0%</t>
        </is>
      </c>
      <c r="D31" s="154" t="inlineStr">
        <is>
          <t>ANACOM Q3 2025</t>
        </is>
      </c>
    </row>
    <row r="32" ht="16" customHeight="1">
      <c r="A32" s="220" t="inlineStr">
        <is>
          <t>MEO</t>
        </is>
      </c>
      <c r="B32" s="221" t="inlineStr">
        <is>
          <t>TV</t>
        </is>
      </c>
      <c r="C32" s="222" t="inlineStr">
        <is>
          <t>42.0%</t>
        </is>
      </c>
      <c r="D32" s="165" t="inlineStr">
        <is>
          <t>ANACOM Q3 2025</t>
        </is>
      </c>
    </row>
    <row r="33" ht="16" customHeight="1">
      <c r="A33" s="195" t="inlineStr">
        <is>
          <t>MEO</t>
        </is>
      </c>
      <c r="B33" s="209" t="inlineStr">
        <is>
          <t>Voz Móvel</t>
        </is>
      </c>
      <c r="C33" s="223" t="inlineStr">
        <is>
          <t>36.1%</t>
        </is>
      </c>
      <c r="D33" s="154" t="inlineStr">
        <is>
          <t>ANACOM Q3 2025</t>
        </is>
      </c>
    </row>
    <row r="34" ht="16" customHeight="1">
      <c r="A34" s="220" t="inlineStr">
        <is>
          <t>MEO</t>
        </is>
      </c>
      <c r="B34" s="221" t="inlineStr">
        <is>
          <t>Banda Larga Móvel</t>
        </is>
      </c>
      <c r="C34" s="222" t="inlineStr">
        <is>
          <t>34.0%</t>
        </is>
      </c>
      <c r="D34" s="165" t="inlineStr">
        <is>
          <t>ANACOM Q3 2025</t>
        </is>
      </c>
    </row>
    <row r="35" ht="16" customHeight="1">
      <c r="A35" s="195" t="inlineStr">
        <is>
          <t>NOS</t>
        </is>
      </c>
      <c r="B35" s="209" t="inlineStr">
        <is>
          <t>Voz Fixa</t>
        </is>
      </c>
      <c r="C35" s="223" t="inlineStr">
        <is>
          <t>32.9%</t>
        </is>
      </c>
      <c r="D35" s="154" t="inlineStr">
        <is>
          <t>ANACOM Q3 2025</t>
        </is>
      </c>
    </row>
    <row r="36" ht="16" customHeight="1">
      <c r="A36" s="220" t="inlineStr">
        <is>
          <t>NOS</t>
        </is>
      </c>
      <c r="B36" s="221" t="inlineStr">
        <is>
          <t>Internet Fixa</t>
        </is>
      </c>
      <c r="C36" s="222" t="inlineStr">
        <is>
          <t>33.4%</t>
        </is>
      </c>
      <c r="D36" s="165" t="inlineStr">
        <is>
          <t>ANACOM Q3 2025</t>
        </is>
      </c>
    </row>
    <row r="37" ht="16" customHeight="1">
      <c r="A37" s="195" t="inlineStr">
        <is>
          <t>NOS</t>
        </is>
      </c>
      <c r="B37" s="209" t="inlineStr">
        <is>
          <t>TV</t>
        </is>
      </c>
      <c r="C37" s="223" t="inlineStr">
        <is>
          <t>35.8%</t>
        </is>
      </c>
      <c r="D37" s="154" t="inlineStr">
        <is>
          <t>ANACOM Q3 2025</t>
        </is>
      </c>
    </row>
    <row r="38" ht="16" customHeight="1">
      <c r="A38" s="220" t="inlineStr">
        <is>
          <t>NOS</t>
        </is>
      </c>
      <c r="B38" s="221" t="inlineStr">
        <is>
          <t>Voz Móvel</t>
        </is>
      </c>
      <c r="C38" s="222" t="inlineStr">
        <is>
          <t>31.0%</t>
        </is>
      </c>
      <c r="D38" s="165" t="inlineStr">
        <is>
          <t>ANACOM Q3 2025</t>
        </is>
      </c>
    </row>
    <row r="39" ht="16" customHeight="1">
      <c r="A39" s="195" t="inlineStr">
        <is>
          <t>NOS</t>
        </is>
      </c>
      <c r="B39" s="209" t="inlineStr">
        <is>
          <t>Banda Larga Móvel</t>
        </is>
      </c>
      <c r="C39" s="223" t="inlineStr">
        <is>
          <t>32.4%</t>
        </is>
      </c>
      <c r="D39" s="154" t="inlineStr">
        <is>
          <t>ANACOM Q3 2025</t>
        </is>
      </c>
    </row>
    <row r="40" ht="16" customHeight="1">
      <c r="A40" s="220" t="inlineStr">
        <is>
          <t>Vodafone</t>
        </is>
      </c>
      <c r="B40" s="221" t="inlineStr">
        <is>
          <t>Voz Fixa</t>
        </is>
      </c>
      <c r="C40" s="222" t="inlineStr">
        <is>
          <t>19.7%</t>
        </is>
      </c>
      <c r="D40" s="165" t="inlineStr">
        <is>
          <t>ANACOM Q3 2025</t>
        </is>
      </c>
    </row>
    <row r="41" ht="16" customHeight="1">
      <c r="A41" s="195" t="inlineStr">
        <is>
          <t>Vodafone</t>
        </is>
      </c>
      <c r="B41" s="209" t="inlineStr">
        <is>
          <t>Internet Fixa</t>
        </is>
      </c>
      <c r="C41" s="223" t="inlineStr">
        <is>
          <t>21.7%</t>
        </is>
      </c>
      <c r="D41" s="154" t="inlineStr">
        <is>
          <t>ANACOM Q3 2025</t>
        </is>
      </c>
    </row>
    <row r="42" ht="16" customHeight="1">
      <c r="A42" s="220" t="inlineStr">
        <is>
          <t>Vodafone</t>
        </is>
      </c>
      <c r="B42" s="221" t="inlineStr">
        <is>
          <t>TV</t>
        </is>
      </c>
      <c r="C42" s="222" t="inlineStr">
        <is>
          <t>15.8%</t>
        </is>
      </c>
      <c r="D42" s="165" t="inlineStr">
        <is>
          <t>ANACOM Q3 2025</t>
        </is>
      </c>
    </row>
    <row r="43" ht="16" customHeight="1">
      <c r="A43" s="195" t="inlineStr">
        <is>
          <t>Vodafone</t>
        </is>
      </c>
      <c r="B43" s="209" t="inlineStr">
        <is>
          <t>Voz Móvel</t>
        </is>
      </c>
      <c r="C43" s="223" t="inlineStr">
        <is>
          <t>28.0%</t>
        </is>
      </c>
      <c r="D43" s="154" t="inlineStr">
        <is>
          <t>ANACOM Q3 2025</t>
        </is>
      </c>
    </row>
    <row r="44" ht="16" customHeight="1">
      <c r="A44" s="220" t="inlineStr">
        <is>
          <t>Vodafone</t>
        </is>
      </c>
      <c r="B44" s="221" t="inlineStr">
        <is>
          <t>Banda Larga Móvel</t>
        </is>
      </c>
      <c r="C44" s="222" t="inlineStr">
        <is>
          <t>29.6%</t>
        </is>
      </c>
      <c r="D44" s="165" t="inlineStr">
        <is>
          <t>ANACOM Q3 2025</t>
        </is>
      </c>
    </row>
    <row r="45" ht="16" customHeight="1">
      <c r="A45" s="195" t="inlineStr">
        <is>
          <t>DIGI/NOWO</t>
        </is>
      </c>
      <c r="B45" s="209" t="inlineStr">
        <is>
          <t>Voz Fixa</t>
        </is>
      </c>
      <c r="C45" s="223" t="inlineStr">
        <is>
          <t>1.7%</t>
        </is>
      </c>
      <c r="D45" s="154" t="inlineStr">
        <is>
          <t>ANACOM Q3 2025</t>
        </is>
      </c>
    </row>
    <row r="46" ht="16" customHeight="1">
      <c r="A46" s="220" t="inlineStr">
        <is>
          <t>DIGI/NOWO</t>
        </is>
      </c>
      <c r="B46" s="221" t="inlineStr">
        <is>
          <t>Internet Fixa</t>
        </is>
      </c>
      <c r="C46" s="222" t="inlineStr">
        <is>
          <t>3.1%</t>
        </is>
      </c>
      <c r="D46" s="165" t="inlineStr">
        <is>
          <t>ANACOM Q3 2025</t>
        </is>
      </c>
    </row>
    <row r="47" ht="16" customHeight="1">
      <c r="A47" s="195" t="inlineStr">
        <is>
          <t>DIGI/NOWO</t>
        </is>
      </c>
      <c r="B47" s="209" t="inlineStr">
        <is>
          <t>TV</t>
        </is>
      </c>
      <c r="C47" s="223" t="inlineStr">
        <is>
          <t>0.5%</t>
        </is>
      </c>
      <c r="D47" s="154" t="inlineStr">
        <is>
          <t>ANACOM Q3 2025</t>
        </is>
      </c>
    </row>
  </sheetData>
  <mergeCells count="9">
    <mergeCell ref="A13:W13"/>
    <mergeCell ref="A1:W1"/>
    <mergeCell ref="A27:W27"/>
    <mergeCell ref="A19:W19"/>
    <mergeCell ref="A4:W4"/>
    <mergeCell ref="A20:W20"/>
    <mergeCell ref="A25:W25"/>
    <mergeCell ref="A2:W2"/>
    <mergeCell ref="A28:W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20" customWidth="1" min="4" max="4"/>
    <col width="36" customWidth="1" min="5" max="5"/>
    <col width="40" customWidth="1" min="6" max="6"/>
    <col width="14" customWidth="1" min="7" max="7"/>
  </cols>
  <sheetData>
    <row r="1" ht="24" customHeight="1">
      <c r="A1" s="157" t="inlineStr">
        <is>
          <t>FONTES DE INFORMAÇÃO — Carrier Financial Results</t>
        </is>
      </c>
    </row>
    <row r="2" ht="16" customHeight="1">
      <c r="A2" s="143" t="inlineStr">
        <is>
          <t>Dados confirmados = sem cor  |  Estimativas = célula laranja (🟠)  |  Fontes: relatórios públicos, reguladores e estimativas analíticas</t>
        </is>
      </c>
    </row>
    <row r="3" ht="22" customHeight="1">
      <c r="A3" s="144" t="inlineStr">
        <is>
          <t>#</t>
        </is>
      </c>
      <c r="B3" s="144" t="inlineStr">
        <is>
          <t>Fonte / Source</t>
        </is>
      </c>
      <c r="C3" s="144" t="inlineStr">
        <is>
          <t>Tipo</t>
        </is>
      </c>
      <c r="D3" s="144" t="inlineStr">
        <is>
          <t>Período</t>
        </is>
      </c>
      <c r="E3" s="144" t="inlineStr">
        <is>
          <t>Dados Utilizados</t>
        </is>
      </c>
      <c r="F3" s="144" t="inlineStr">
        <is>
          <t>Referência / URL</t>
        </is>
      </c>
      <c r="G3" s="144" t="inlineStr">
        <is>
          <t>Estado</t>
        </is>
      </c>
    </row>
    <row r="4" ht="28" customHeight="1">
      <c r="A4" s="158" t="n">
        <v>1</v>
      </c>
      <c r="B4" s="158" t="inlineStr">
        <is>
          <t>Altice Portugal (MEO) — Resultados Trimestrais</t>
        </is>
      </c>
      <c r="C4" s="158" t="inlineStr">
        <is>
          <t>Relatório Financeiro Público</t>
        </is>
      </c>
      <c r="D4" s="158" t="inlineStr">
        <is>
          <t>CYQ1'24–CYQ3'25</t>
        </is>
      </c>
      <c r="E4" s="158" t="inlineStr">
        <is>
          <t>Revenue, Eliminações, Telco, B2C, B2B, EBITDA</t>
        </is>
      </c>
      <c r="F4" s="158" t="inlineStr">
        <is>
          <t>altice.net / Altice Group IR</t>
        </is>
      </c>
      <c r="G4" s="158" t="inlineStr">
        <is>
          <t>✅ Confirmado</t>
        </is>
      </c>
    </row>
    <row r="5" ht="28" customHeight="1">
      <c r="A5" s="159" t="n">
        <v>2</v>
      </c>
      <c r="B5" s="159" t="inlineStr">
        <is>
          <t>MEO — Dados fornecidos no ficheiro original</t>
        </is>
      </c>
      <c r="C5" s="159" t="inlineStr">
        <is>
          <t>Dados Internos</t>
        </is>
      </c>
      <c r="D5" s="159" t="inlineStr">
        <is>
          <t>CYQ1'24–CYQ3'25</t>
        </is>
      </c>
      <c r="E5" s="159" t="inlineStr">
        <is>
          <t>Todos os KPIs financeiros sheet MEO</t>
        </is>
      </c>
      <c r="F5" s="159" t="inlineStr">
        <is>
          <t>Ficheiro original (não alterado)</t>
        </is>
      </c>
      <c r="G5" s="159" t="inlineStr">
        <is>
          <t>✅ Confirmado</t>
        </is>
      </c>
    </row>
    <row r="6" ht="28" customHeight="1">
      <c r="A6" s="158" t="n">
        <v>3</v>
      </c>
      <c r="B6" s="158" t="inlineStr">
        <is>
          <t>NOS SGPS — Comunicados de Resultados Trimestrais</t>
        </is>
      </c>
      <c r="C6" s="158" t="inlineStr">
        <is>
          <t>Relatório Financeiro Público</t>
        </is>
      </c>
      <c r="D6" s="158" t="inlineStr">
        <is>
          <t>CYQ1'24–CYQ3'25</t>
        </is>
      </c>
      <c r="E6" s="158" t="inlineStr">
        <is>
          <t>Revenue, B2C, B2B, IT, Cinema, EBITDA, CAPEX</t>
        </is>
      </c>
      <c r="F6" s="158" t="inlineStr">
        <is>
          <t>investor.nos.pt | CMVM</t>
        </is>
      </c>
      <c r="G6" s="158" t="inlineStr">
        <is>
          <t>✅ Confirmado</t>
        </is>
      </c>
    </row>
    <row r="7" ht="28" customHeight="1">
      <c r="A7" s="159" t="n">
        <v>4</v>
      </c>
      <c r="B7" s="159" t="inlineStr">
        <is>
          <t>NOS — Dados fornecidos no ficheiro original</t>
        </is>
      </c>
      <c r="C7" s="159" t="inlineStr">
        <is>
          <t>Dados Internos</t>
        </is>
      </c>
      <c r="D7" s="159" t="inlineStr">
        <is>
          <t>CYQ1'24–CYQ3'25</t>
        </is>
      </c>
      <c r="E7" s="159" t="inlineStr">
        <is>
          <t>Todos os KPIs financeiros sheet NOS</t>
        </is>
      </c>
      <c r="F7" s="159" t="inlineStr">
        <is>
          <t>Ficheiro original (não alterado)</t>
        </is>
      </c>
      <c r="G7" s="159" t="inlineStr">
        <is>
          <t>✅ Confirmado</t>
        </is>
      </c>
    </row>
    <row r="8" ht="28" customHeight="1">
      <c r="A8" s="158" t="n">
        <v>5</v>
      </c>
      <c r="B8" s="158" t="inlineStr">
        <is>
          <t>Vodafone Group — Full Year Results FY2025</t>
        </is>
      </c>
      <c r="C8" s="158" t="inlineStr">
        <is>
          <t>Relatório Anual Público</t>
        </is>
      </c>
      <c r="D8" s="158" t="inlineStr">
        <is>
          <t>Apr'24–Mar'25 (FY25)</t>
        </is>
      </c>
      <c r="E8" s="158" t="inlineStr">
        <is>
          <t>Portugal Service Revenue FY25 ~€824M; EBITDA margin; CAPEX ~€130M</t>
        </is>
      </c>
      <c r="F8" s="158" t="inlineStr">
        <is>
          <t>investor.vodafone.com | FY25 Results (Mai 2025)</t>
        </is>
      </c>
      <c r="G8" s="158" t="inlineStr">
        <is>
          <t>— substituído</t>
        </is>
      </c>
    </row>
    <row r="9" ht="28" customHeight="1">
      <c r="A9" s="159" t="n">
        <v>6</v>
      </c>
      <c r="B9" s="159" t="inlineStr">
        <is>
          <t>Vodafone Group — Full Year Results FY2024</t>
        </is>
      </c>
      <c r="C9" s="159" t="inlineStr">
        <is>
          <t>Relatório Anual Público</t>
        </is>
      </c>
      <c r="D9" s="159" t="inlineStr">
        <is>
          <t>Apr'23–Mar'24 (FY24)</t>
        </is>
      </c>
      <c r="E9" s="159" t="inlineStr">
        <is>
          <t>Portugal Service Revenue FY24 ~€807M; EBITDA margin</t>
        </is>
      </c>
      <c r="F9" s="159" t="inlineStr">
        <is>
          <t>investor.vodafone.com | FY24 Results (Mai 2024)</t>
        </is>
      </c>
      <c r="G9" s="159" t="inlineStr">
        <is>
          <t>— substituído</t>
        </is>
      </c>
    </row>
    <row r="10" ht="28" customHeight="1">
      <c r="A10" s="158" t="n">
        <v>7</v>
      </c>
      <c r="B10" s="158" t="inlineStr">
        <is>
          <t>Vodafone Group — H1 FY2025 Results</t>
        </is>
      </c>
      <c r="C10" s="158" t="inlineStr">
        <is>
          <t>Relatório Semestral Público</t>
        </is>
      </c>
      <c r="D10" s="158" t="inlineStr">
        <is>
          <t>Apr–Sep 2024 (H1 FY25)</t>
        </is>
      </c>
      <c r="E10" s="158" t="inlineStr">
        <is>
          <t>Portugal H1 Service Revenue ~€408M; crescimento orgânico ~+2%</t>
        </is>
      </c>
      <c r="F10" s="158" t="inlineStr">
        <is>
          <t>investor.vodafone.com | H1 FY25 (Nov 2024)</t>
        </is>
      </c>
      <c r="G10" s="158" t="inlineStr">
        <is>
          <t>— substituído</t>
        </is>
      </c>
    </row>
    <row r="11" ht="28" customHeight="1">
      <c r="A11" s="159" t="n">
        <v>8</v>
      </c>
      <c r="B11" s="159" t="inlineStr">
        <is>
          <t>Vodafone Group — Q3 FY2025 Trading Update</t>
        </is>
      </c>
      <c r="C11" s="159" t="inlineStr">
        <is>
          <t>Atualização Trimestral</t>
        </is>
      </c>
      <c r="D11" s="159" t="inlineStr">
        <is>
          <t>Out–Dez 2024 (FY25 Q3)</t>
        </is>
      </c>
      <c r="E11" s="159" t="inlineStr">
        <is>
          <t>Portugal 9M FY25 Service Revenue; crescimento YoY</t>
        </is>
      </c>
      <c r="F11" s="159" t="inlineStr">
        <is>
          <t>investor.vodafone.com | Q3 FY25 (Jan 2025)</t>
        </is>
      </c>
      <c r="G11" s="159" t="inlineStr">
        <is>
          <t>— substituído</t>
        </is>
      </c>
    </row>
    <row r="12" ht="28" customHeight="1">
      <c r="A12" s="158" t="n">
        <v>9</v>
      </c>
      <c r="B12" s="158" t="inlineStr">
        <is>
          <t>Vodafone Group — Q1 FY2026 Trading Update</t>
        </is>
      </c>
      <c r="C12" s="158" t="inlineStr">
        <is>
          <t>Atualização Trimestral</t>
        </is>
      </c>
      <c r="D12" s="158" t="inlineStr">
        <is>
          <t>Apr–Jun 2025 (FY26 Q1)</t>
        </is>
      </c>
      <c r="E12" s="158" t="inlineStr">
        <is>
          <t>Portugal CY Q2 2025 Service Revenue trend</t>
        </is>
      </c>
      <c r="F12" s="158" t="inlineStr">
        <is>
          <t>investor.vodafone.com | Q1 FY26 (Jul 2025)</t>
        </is>
      </c>
      <c r="G12" s="158" t="inlineStr">
        <is>
          <t>— substituído</t>
        </is>
      </c>
    </row>
    <row r="13" ht="28" customHeight="1">
      <c r="A13" s="159" t="n">
        <v>10</v>
      </c>
      <c r="B13" s="159" t="inlineStr">
        <is>
          <t>ANACOM — Relatório Trimestral de Telecomunicações</t>
        </is>
      </c>
      <c r="C13" s="159" t="inlineStr">
        <is>
          <t>Dados Regulatórios</t>
        </is>
      </c>
      <c r="D13" s="159" t="inlineStr">
        <is>
          <t>Q1'24–Q3'25</t>
        </is>
      </c>
      <c r="E13" s="159" t="inlineStr">
        <is>
          <t>Quota de mercado, assinantes móveis/fixos, penetração broadband</t>
        </is>
      </c>
      <c r="F13" s="159" t="inlineStr">
        <is>
          <t>anacom.pt/web/guest/relatorios-trimestrais</t>
        </is>
      </c>
      <c r="G13" s="159" t="inlineStr">
        <is>
          <t>✅ Confirmado (KPIs mercado)</t>
        </is>
      </c>
    </row>
    <row r="14" ht="28" customHeight="1">
      <c r="A14" s="158" t="n">
        <v>11</v>
      </c>
      <c r="B14" s="158" t="inlineStr">
        <is>
          <t>Estimativa Analítica — Desagregação Trimestral Vodafone</t>
        </is>
      </c>
      <c r="C14" s="158" t="inlineStr">
        <is>
          <t>Estimativa / Modelização</t>
        </is>
      </c>
      <c r="D14" s="158" t="inlineStr">
        <is>
          <t>CYQ1'24–CYQ3'25</t>
        </is>
      </c>
      <c r="E14" s="158" t="inlineStr">
        <is>
          <t>Distribuição quarterly (FY→CY mapping); B2C/B2B split ~67.5%/32.5%</t>
        </is>
      </c>
      <c r="F14" s="158" t="inlineStr">
        <is>
          <t>Benchmarks setor telecom + dados Vodafone Group públicos</t>
        </is>
      </c>
      <c r="G14" s="158" t="inlineStr">
        <is>
          <t>🟠 Estimativa</t>
        </is>
      </c>
    </row>
    <row r="15" ht="28" customHeight="1">
      <c r="A15" s="159" t="n">
        <v>12</v>
      </c>
      <c r="B15" s="159" t="inlineStr">
        <is>
          <t>Estimativa Analítica — EBITDA Trimestral Vodafone</t>
        </is>
      </c>
      <c r="C15" s="159" t="inlineStr">
        <is>
          <t>Estimativa / Modelização</t>
        </is>
      </c>
      <c r="D15" s="159" t="inlineStr">
        <is>
          <t>CYQ1'24–CYQ3'25</t>
        </is>
      </c>
      <c r="E15" s="159" t="inlineStr">
        <is>
          <t>EBITDA trimestral ~33% margem (vs EBITDAaL grupo FY25 ~€295M)</t>
        </is>
      </c>
      <c r="F15" s="159" t="inlineStr">
        <is>
          <t>Vodafone Group EBITDAaL Portugal — relatórios anuais</t>
        </is>
      </c>
      <c r="G15" s="159" t="inlineStr">
        <is>
          <t>🟠 Estimativa</t>
        </is>
      </c>
    </row>
    <row r="16" ht="28" customHeight="1">
      <c r="A16" s="158" t="n">
        <v>13</v>
      </c>
      <c r="B16" s="158" t="inlineStr">
        <is>
          <t>Estimativa Analítica — CAPEX Trimestral Vodafone</t>
        </is>
      </c>
      <c r="C16" s="158" t="inlineStr">
        <is>
          <t>Estimativa / Modelização</t>
        </is>
      </c>
      <c r="D16" s="158" t="inlineStr">
        <is>
          <t>CYQ1'24–CYQ3'25</t>
        </is>
      </c>
      <c r="E16" s="158" t="inlineStr">
        <is>
          <t>CAPEX trimestral ~€31-34M (total anual ~€128-132M)</t>
        </is>
      </c>
      <c r="F16" s="158" t="inlineStr">
        <is>
          <t>Vodafone Group CAPEX por mercado — relatórios anuais</t>
        </is>
      </c>
      <c r="G16" s="158" t="inlineStr">
        <is>
          <t>🟠 Estimativa</t>
        </is>
      </c>
    </row>
    <row r="17" ht="28" customHeight="1">
      <c r="A17" s="159" t="n">
        <v>14</v>
      </c>
      <c r="B17" s="159" t="inlineStr">
        <is>
          <t>GSMA Intelligence — Portugal Mobile Market</t>
        </is>
      </c>
      <c r="C17" s="159" t="inlineStr">
        <is>
          <t>Base de Dados Setorial</t>
        </is>
      </c>
      <c r="D17" s="159" t="inlineStr">
        <is>
          <t>2024-2025</t>
        </is>
      </c>
      <c r="E17" s="159" t="inlineStr">
        <is>
          <t>Benchmarks ARPU, penetração, mix prepaid/postpaid</t>
        </is>
      </c>
      <c r="F17" s="159" t="inlineStr">
        <is>
          <t>gsma.com/intelligence</t>
        </is>
      </c>
      <c r="G17" s="159" t="inlineStr">
        <is>
          <t>ℹ️ Contexto</t>
        </is>
      </c>
    </row>
    <row r="18" ht="28" customHeight="1">
      <c r="A18" s="158" t="n">
        <v>15</v>
      </c>
      <c r="B18" s="158" t="inlineStr">
        <is>
          <t>Vodafone Portugal — Relatório Sustentabilidade 2024</t>
        </is>
      </c>
      <c r="C18" s="158" t="inlineStr">
        <is>
          <t>Relatório Público</t>
        </is>
      </c>
      <c r="D18" s="158" t="inlineStr">
        <is>
          <t>2024</t>
        </is>
      </c>
      <c r="E18" s="158" t="inlineStr">
        <is>
          <t>Contexto operacional, rede, investimentos 5G</t>
        </is>
      </c>
      <c r="F18" s="158" t="inlineStr">
        <is>
          <t>vodafone.pt/sustentabilidade</t>
        </is>
      </c>
      <c r="G18" s="158" t="inlineStr">
        <is>
          <t>ℹ️ Referência contextual</t>
        </is>
      </c>
    </row>
    <row r="19" ht="28" customHeight="1">
      <c r="A19" s="158" t="n">
        <v>16</v>
      </c>
      <c r="B19" s="158" t="inlineStr">
        <is>
          <t>Estimativa Analítica — MEO v2: Revenue B2C/B2B</t>
        </is>
      </c>
      <c r="C19" s="158" t="inlineStr">
        <is>
          <t>Estimativa Independente</t>
        </is>
      </c>
      <c r="D19" s="158" t="inlineStr">
        <is>
          <t>CYQ1'24–CYQ3'25</t>
        </is>
      </c>
      <c r="E19" s="158" t="inlineStr">
        <is>
          <t>B2C ~53% Telco (vs confirmado ~49%); B2B ~47%; Revenue Total derivado</t>
        </is>
      </c>
      <c r="F19" s="158" t="inlineStr">
        <is>
          <t>ANACOM quotas + benchmarks EU; Altice Group trends</t>
        </is>
      </c>
      <c r="G19" s="158" t="inlineStr">
        <is>
          <t>🟠 Estimativa — sheet Meo v2</t>
        </is>
      </c>
    </row>
    <row r="20" ht="28" customHeight="1">
      <c r="A20" s="159" t="n">
        <v>17</v>
      </c>
      <c r="B20" s="159" t="inlineStr">
        <is>
          <t>Estimativa Analítica — MEO v2: EBITDA</t>
        </is>
      </c>
      <c r="C20" s="159" t="inlineStr">
        <is>
          <t>Estimativa Independente</t>
        </is>
      </c>
      <c r="D20" s="159" t="inlineStr">
        <is>
          <t>CYQ1'24–CYQ3'25</t>
        </is>
      </c>
      <c r="E20" s="159" t="inlineStr">
        <is>
          <t>EBITDA ~33-35% margem constante; sem impacto Q4'24 excecional</t>
        </is>
      </c>
      <c r="F20" s="159" t="inlineStr">
        <is>
          <t>Altice Group annual EBITDA Portugal; benchmarks setor</t>
        </is>
      </c>
      <c r="G20" s="159" t="inlineStr">
        <is>
          <t>🟠 Estimativa — sheet Meo v2</t>
        </is>
      </c>
    </row>
    <row r="21" ht="28" customHeight="1">
      <c r="A21" s="158" t="n">
        <v>18</v>
      </c>
      <c r="B21" s="158" t="inlineStr">
        <is>
          <t>NOS SGPS — Dados Públicos (NOS v2)</t>
        </is>
      </c>
      <c r="C21" s="158" t="inlineStr">
        <is>
          <t>Relatório Financeiro Público</t>
        </is>
      </c>
      <c r="D21" s="158" t="inlineStr">
        <is>
          <t>CYQ1'24–CYQ3'25</t>
        </is>
      </c>
      <c r="E21" s="158" t="inlineStr">
        <is>
          <t>Revenue Total, B2C, B2B, IT, Cinema, EBITDA, CAPEX — idêntico à sheet NOS confirmada</t>
        </is>
      </c>
      <c r="F21" s="158" t="inlineStr">
        <is>
          <t>investor.nos.pt | CMVM | nos.pt/ir — divulgação obrigatória (cotada Euronext)</t>
        </is>
      </c>
      <c r="G21" s="158" t="inlineStr">
        <is>
          <t>✅ Confirmado (público)</t>
        </is>
      </c>
    </row>
    <row r="22" ht="28" customHeight="1">
      <c r="A22" s="159" t="n">
        <v>19</v>
      </c>
      <c r="B22" s="159" t="inlineStr">
        <is>
          <t>NOS SGPS — EBITDA e CAPEX (NOS v2)</t>
        </is>
      </c>
      <c r="C22" s="159" t="inlineStr">
        <is>
          <t>Relatório Financeiro Público</t>
        </is>
      </c>
      <c r="D22" s="159" t="inlineStr">
        <is>
          <t>CYQ1'24–CYQ3'25</t>
        </is>
      </c>
      <c r="E22" s="159" t="inlineStr">
        <is>
          <t>EBITDA Total, Telco, IT, Cinema; CAPEX — divulgação trimestral obrigatória</t>
        </is>
      </c>
      <c r="F22" s="159" t="inlineStr">
        <is>
          <t>investor.nos.pt | CMVM | Comunicados de Resultados Trimestrais</t>
        </is>
      </c>
      <c r="G22" s="159" t="inlineStr">
        <is>
          <t>✅ Confirmado (público)</t>
        </is>
      </c>
    </row>
    <row r="24" ht="36" customHeight="1">
      <c r="A24" s="158" t="n">
        <v>20</v>
      </c>
      <c r="B24" s="158" t="inlineStr">
        <is>
          <t>Vodafone Group — Q4 FY25 Additional Information (Revenue by Market)</t>
        </is>
      </c>
      <c r="C24" s="158" t="inlineStr">
        <is>
          <t>Relatório Trimestral Público</t>
        </is>
      </c>
      <c r="D24" s="158" t="inlineStr">
        <is>
          <t>Q4 FY23–Q4 FY25 (CY Q4'22–CY Q1'25)</t>
        </is>
      </c>
      <c r="E24" s="158" t="inlineStr">
        <is>
          <t>Portugal Service Revenue: Q4FY24=€300M | Q1FY25=€312M | Q2FY25=€319M | Q3FY25=€311M | Q4FY25=€307M</t>
        </is>
      </c>
      <c r="F24" s="158" t="inlineStr">
        <is>
          <t>investor.vodafone.com — vodafone-q4-fy25-additional-information</t>
        </is>
      </c>
      <c r="G24" s="158" t="inlineStr">
        <is>
          <t>✅ Confirmado (dados trimestrais por país)</t>
        </is>
      </c>
    </row>
    <row r="25" ht="36" customHeight="1">
      <c r="A25" s="159" t="n">
        <v>21</v>
      </c>
      <c r="B25" s="159" t="inlineStr">
        <is>
          <t>Estimativa Analítica — Vodafone B2C/B2B split, EBITDA, CAPEX</t>
        </is>
      </c>
      <c r="C25" s="159" t="inlineStr">
        <is>
          <t>Estimativa Independente</t>
        </is>
      </c>
      <c r="D25" s="159" t="inlineStr">
        <is>
          <t>CYQ1'24–CYQ3'25</t>
        </is>
      </c>
      <c r="E25" s="159" t="inlineStr">
        <is>
          <t>B2C ~70% / B2B ~30% do Telco; EBITDA ~33%; CAPEX ~13% — não divulgados por PT</t>
        </is>
      </c>
      <c r="F25" s="159" t="inlineStr">
        <is>
          <t>Benchmarks Vodafone Group + ANACOM + peers EU</t>
        </is>
      </c>
      <c r="G25" s="159" t="inlineStr">
        <is>
          <t>🟠 Estimativa</t>
        </is>
      </c>
    </row>
    <row r="27" ht="36" customHeight="1">
      <c r="A27" s="158" t="n">
        <v>22</v>
      </c>
      <c r="B27" s="158" t="inlineStr">
        <is>
          <t>Vodafone Group — Q3 FY26 Additional Information (Revenue by Market)</t>
        </is>
      </c>
      <c r="C27" s="158" t="inlineStr">
        <is>
          <t>Relatório Trimestral Público</t>
        </is>
      </c>
      <c r="D27" s="158" t="inlineStr">
        <is>
          <t>Q3 FY24–Q3 FY26 (CY Q3'23–CY Q4'25)</t>
        </is>
      </c>
      <c r="E27" s="158" t="inlineStr">
        <is>
          <t>Portugal Service Revenue: Q1FY26=€307M | Q2FY26=€316M | Q3FY26=€303M → CY'25 completo confirmado</t>
        </is>
      </c>
      <c r="F27" s="158" t="inlineStr">
        <is>
          <t>investor.vodafone.com — vodafone-q3-fy26-additional-information</t>
        </is>
      </c>
      <c r="G27" s="158" t="inlineStr">
        <is>
          <t>✅ Confirmado (CY25 completo: €1,233M)</t>
        </is>
      </c>
    </row>
    <row r="29" ht="36" customHeight="1">
      <c r="A29" s="158" t="n">
        <v>23</v>
      </c>
      <c r="B29" s="158" t="inlineStr">
        <is>
          <t>Vodafone Group — Q3 FY26 Additional Information: Segmental Analysis (tab 06)</t>
        </is>
      </c>
      <c r="C29" s="158" t="inlineStr">
        <is>
          <t>Relatório Oficial Público</t>
        </is>
      </c>
      <c r="D29" s="158" t="inlineStr">
        <is>
          <t>H1/H2 FY24–FY26</t>
        </is>
      </c>
      <c r="E29" s="158" t="inlineStr">
        <is>
          <t>Portugal Revenue Total, EBITDAaL, CAPEX (semi-annual confirmed): H1FY24=666/246/111 | H2FY24=670/231/144 | H1FY25=694/252/102 | H2FY25=690/242/150 | H1FY26=686/271/91</t>
        </is>
      </c>
      <c r="F29" s="158" t="inlineStr">
        <is>
          <t>investor.vodafone.com — vodafone-q3-fy26-additional-information tab 06</t>
        </is>
      </c>
      <c r="G29" s="158" t="inlineStr">
        <is>
          <t>✅ Confirmado</t>
        </is>
      </c>
    </row>
    <row r="30" ht="36" customHeight="1">
      <c r="A30" s="159" t="n">
        <v>24</v>
      </c>
      <c r="B30" s="159" t="inlineStr">
        <is>
          <t>Vodafone Group — Q3 FY26: Mobile customers PT (tab 08)</t>
        </is>
      </c>
      <c r="C30" s="159" t="inlineStr">
        <is>
          <t>Relatório Oficial Público</t>
        </is>
      </c>
      <c r="D30" s="159" t="inlineStr">
        <is>
          <t>Q3 FY24–Q3 FY26</t>
        </is>
      </c>
      <c r="E30" s="159" t="inlineStr">
        <is>
          <t>Mobile closing customers: 4,727k→4,621k | Contract %: 56.6%→64.3%</t>
        </is>
      </c>
      <c r="F30" s="159" t="inlineStr">
        <is>
          <t>investor.vodafone.com — vodafone-q3-fy26-additional-information tab 08</t>
        </is>
      </c>
      <c r="G30" s="159" t="inlineStr">
        <is>
          <t>✅ Confirmado</t>
        </is>
      </c>
    </row>
    <row r="31" ht="36" customHeight="1">
      <c r="A31" s="158" t="n">
        <v>25</v>
      </c>
      <c r="B31" s="158" t="inlineStr">
        <is>
          <t>Vodafone Group — Q3 FY26: Fixed Broadband &amp; TV customers PT (tabs 09, 11)</t>
        </is>
      </c>
      <c r="C31" s="158" t="inlineStr">
        <is>
          <t>Relatório Oficial Público</t>
        </is>
      </c>
      <c r="D31" s="158" t="inlineStr">
        <is>
          <t>Q3 FY24–Q3 FY26</t>
        </is>
      </c>
      <c r="E31" s="158" t="inlineStr">
        <is>
          <t>Fixed BB: 984k→1,018k | TV: 886k→906k | Converged: 372k→469k</t>
        </is>
      </c>
      <c r="F31" s="158" t="inlineStr">
        <is>
          <t>investor.vodafone.com — vodafone-q3-fy26-additional-information tabs 09/11/12</t>
        </is>
      </c>
      <c r="G31" s="158" t="inlineStr">
        <is>
          <t>✅ Confirmado</t>
        </is>
      </c>
    </row>
    <row r="32" ht="36" customHeight="1">
      <c r="A32" s="159" t="n">
        <v>26</v>
      </c>
      <c r="B32" s="159" t="inlineStr">
        <is>
          <t>Vodafone Group — Q3 FY26: Mobile ARPU Portugal (tab 15)</t>
        </is>
      </c>
      <c r="C32" s="159" t="inlineStr">
        <is>
          <t>Relatório Oficial Público</t>
        </is>
      </c>
      <c r="D32" s="159" t="inlineStr">
        <is>
          <t>Q3 FY24–Q3 FY26</t>
        </is>
      </c>
      <c r="E32" s="159" t="inlineStr">
        <is>
          <t>Total ARPU: €13.24→€12.87/mês | Contract: €18.64→€16.95 | Prepaid: €6.48→€5.78</t>
        </is>
      </c>
      <c r="F32" s="159" t="inlineStr">
        <is>
          <t>investor.vodafone.com — vodafone-q3-fy26-additional-information tab 15</t>
        </is>
      </c>
      <c r="G32" s="159" t="inlineStr">
        <is>
          <t>✅ Confirmado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4" customWidth="1" min="3" max="3"/>
    <col width="10" customWidth="1" min="4" max="4"/>
  </cols>
  <sheetData>
    <row r="1" ht="26" customHeight="1">
      <c r="A1" s="160" t="inlineStr">
        <is>
          <t>📊  INSIGHTS ESTRATÉGICOS — Mercado de Telecomunicações em Portugal</t>
        </is>
      </c>
    </row>
    <row r="2" ht="16" customHeight="1">
      <c r="A2" s="143" t="inlineStr">
        <is>
          <t>Análise com base em dados confirmados  |  Fontes: Vodafone Group Q3 FY26, NOS SGPS, Altice Portugal, ANACOM Q3 2025  |  CY 2024–CY 2025</t>
        </is>
      </c>
    </row>
    <row r="3"/>
    <row r="4" ht="20" customHeight="1">
      <c r="A4" s="161" t="inlineStr">
        <is>
          <t>1.  ESTRUTURA DO MERCADO</t>
        </is>
      </c>
    </row>
    <row r="5" ht="18" customHeight="1">
      <c r="A5" s="162" t="inlineStr">
        <is>
          <t>Posicionamento Competitivo — Revenue Total CY 2024</t>
        </is>
      </c>
    </row>
    <row r="6" ht="18" customHeight="1">
      <c r="A6" s="163" t="inlineStr">
        <is>
          <t>🥇  MEO (Altice Portugal)</t>
        </is>
      </c>
      <c r="B6" s="164" t="inlineStr">
        <is>
          <t>€2.888 Mrd service  |  Market share ~49%</t>
        </is>
      </c>
      <c r="C6" s="165" t="inlineStr">
        <is>
          <t>Líder destacado; rede FTTH + TV + B2B Altice Enterprise (50%+ B2B share!)</t>
        </is>
      </c>
    </row>
    <row r="7" ht="18" customHeight="1">
      <c r="A7" s="146" t="inlineStr">
        <is>
          <t>🥈  NOS SGPS</t>
        </is>
      </c>
      <c r="B7" s="151" t="inlineStr">
        <is>
          <t>€1.795 Mrd total  |  Market share ~30%</t>
        </is>
      </c>
      <c r="C7" s="154" t="inlineStr">
        <is>
          <t>2º player; diferenciação Cinema + NOS Sistemas IT; margem EBITDA líder (44-47%)</t>
        </is>
      </c>
    </row>
    <row r="8" ht="18" customHeight="1">
      <c r="A8" s="163" t="inlineStr">
        <is>
          <t>🥉  Vodafone Portugal</t>
        </is>
      </c>
      <c r="B8" s="164" t="inlineStr">
        <is>
          <t>€1.375 Mrd total  |  Market share ~23%</t>
        </is>
      </c>
      <c r="C8" s="165" t="inlineStr">
        <is>
          <t>*Total rev. (srv+equip.); service rev €1.242 Mrd; EBITDA ~36%, CAPEX intensivo</t>
        </is>
      </c>
    </row>
    <row r="9" ht="18" customHeight="1">
      <c r="A9" s="146" t="inlineStr">
        <is>
          <t>🔢  Mercado Total</t>
        </is>
      </c>
      <c r="B9" s="151" t="inlineStr">
        <is>
          <t>~€6.0 Mrd (CY 2024)</t>
        </is>
      </c>
      <c r="C9" s="154" t="inlineStr">
        <is>
          <t>Oligopólio estável com 3 MNOs integrados; MVNOs marginais</t>
        </is>
      </c>
    </row>
    <row r="10"/>
    <row r="11" ht="18" customHeight="1">
      <c r="A11" s="162" t="inlineStr">
        <is>
          <t>Revisão vs Estimativas Anteriores — Vodafone Portugal</t>
        </is>
      </c>
    </row>
    <row r="12" ht="18" customHeight="1">
      <c r="A12" s="164" t="inlineStr">
        <is>
          <t xml:space="preserve">  •  ⚠️  Dados anteriores erravam por confundir service revenue (~€0.9B estimado) com total revenue (€1.375B confirmado).</t>
        </is>
      </c>
    </row>
    <row r="13" ht="18" customHeight="1">
      <c r="A13" s="151" t="inlineStr">
        <is>
          <t xml:space="preserve">  •  EBITDA margin ~36% (total rev) — muito mais próximo de MEO (~33%) e NOS (~44%) do que estimado inicialmente.</t>
        </is>
      </c>
    </row>
    <row r="14" ht="18" customHeight="1">
      <c r="A14" s="164" t="inlineStr">
        <is>
          <t xml:space="preserve">  •  CAPEX annual CY24 ~€250M (18.2% of rev) — muito acima da estimativa anterior (~€130M).</t>
        </is>
      </c>
    </row>
    <row r="15"/>
    <row r="16" ht="20" customHeight="1">
      <c r="A16" s="161" t="inlineStr">
        <is>
          <t>2.  TENDÊNCIAS DE RECEITA (CY 2024 → CY 2025)</t>
        </is>
      </c>
    </row>
    <row r="17" ht="18" customHeight="1">
      <c r="A17" s="162" t="inlineStr">
        <is>
          <t>Service Revenue YoY (fonte confirmada)</t>
        </is>
      </c>
    </row>
    <row r="18" ht="18" customHeight="1">
      <c r="A18" s="163" t="inlineStr">
        <is>
          <t>MEO</t>
        </is>
      </c>
      <c r="B18" s="164" t="inlineStr">
        <is>
          <t>H1'25: -1.2% | Q3'25: -8.9% | CY'25: declining</t>
        </is>
      </c>
      <c r="C18" s="165" t="inlineStr">
        <is>
          <t>Queda acelerada — pressão B2B estrutural; Q4'25 não disponível</t>
        </is>
      </c>
    </row>
    <row r="19" ht="18" customHeight="1">
      <c r="A19" s="146" t="inlineStr">
        <is>
          <t>NOS</t>
        </is>
      </c>
      <c r="B19" s="151" t="inlineStr">
        <is>
          <t>H1'25: +3.8% | Q3'25: -1.2% | CY'25: ~flat</t>
        </is>
      </c>
      <c r="C19" s="154" t="inlineStr">
        <is>
          <t>Crescimento B2B (+9.4% H1); abrandamento Cinema Q3</t>
        </is>
      </c>
    </row>
    <row r="20" ht="18" customHeight="1">
      <c r="A20" s="163" t="inlineStr">
        <is>
          <t>Vodafone ✅</t>
        </is>
      </c>
      <c r="B20" s="164" t="inlineStr">
        <is>
          <t>H1'25: +0.3% | H2'25: -1.7% | CY'25: -0.7%</t>
        </is>
      </c>
      <c r="C20" s="165" t="inlineStr">
        <is>
          <t>CONFIRMADO — ligeiro declínio anual; H1 ainda positivo mas H2 negativo</t>
        </is>
      </c>
    </row>
    <row r="21"/>
    <row r="22" ht="18" customHeight="1">
      <c r="A22" s="162" t="inlineStr">
        <is>
          <t>Alertas Estratégicos</t>
        </is>
      </c>
    </row>
    <row r="23" ht="18" customHeight="1">
      <c r="A23" s="164" t="inlineStr">
        <is>
          <t xml:space="preserve">  •  📉  TODOS os 3 operadores com revenue a declinar ou estabilizar em 2025 — pressão sectorial generalizada.</t>
        </is>
      </c>
    </row>
    <row r="24" ht="18" customHeight="1">
      <c r="A24" s="151" t="inlineStr">
        <is>
          <t xml:space="preserve">  •  ⚡  Vodafone: H2'25 service rev (-1.7%) vs H1'25 (+0.3%) — aceleração do declínio no 2º semestre 2025.</t>
        </is>
      </c>
    </row>
    <row r="25" ht="18" customHeight="1">
      <c r="A25" s="231" t="inlineStr">
        <is>
          <t xml:space="preserve">  •  📉  MEO B2B declínio estrutural: Q3'25 ~-7.4% (MEO v2 est.) | CY'25 YoY: -6.8% | pressão continuada no enterprise.</t>
        </is>
      </c>
    </row>
    <row r="26"/>
    <row r="27" ht="20" customHeight="1">
      <c r="A27" s="161" t="inlineStr">
        <is>
          <t>3.  RENTABILIDADE (EBITDAaL — confirmado Vodafone; EBITDA — confirmado MEO/NOS)</t>
        </is>
      </c>
    </row>
    <row r="28" ht="18" customHeight="1">
      <c r="A28" s="162" t="inlineStr">
        <is>
          <t>EBITDA Margin CY 2024</t>
        </is>
      </c>
    </row>
    <row r="29" ht="18" customHeight="1">
      <c r="A29" s="163" t="inlineStr">
        <is>
          <t>🥇  NOS</t>
        </is>
      </c>
      <c r="B29" s="164" t="inlineStr">
        <is>
          <t>~43.5% EBITDA margin</t>
        </is>
      </c>
      <c r="C29" s="165" t="inlineStr">
        <is>
          <t>Líder europeu; alavancagem Cinema + IT (NOS Sistemas)</t>
        </is>
      </c>
    </row>
    <row r="30" ht="18" customHeight="1">
      <c r="A30" s="146" t="inlineStr">
        <is>
          <t>🥈  Vodafone ✓</t>
        </is>
      </c>
      <c r="B30" s="151" t="inlineStr">
        <is>
          <t>~35.6% EBITDAaL margin (total rev)</t>
        </is>
      </c>
      <c r="C30" s="154" t="inlineStr">
        <is>
          <t>Confirmado via segmental; ~39% na service revenue — muito acima do estimado</t>
        </is>
      </c>
    </row>
    <row r="31" ht="18" customHeight="1">
      <c r="A31" s="163" t="inlineStr">
        <is>
          <t>🥉  MEO</t>
        </is>
      </c>
      <c r="B31" s="164" t="inlineStr">
        <is>
          <t>~33.0% EBITDA margin</t>
        </is>
      </c>
      <c r="C31" s="165" t="inlineStr">
        <is>
          <t>Em queda (37.2%→33.9% em 18 meses = -330bps)</t>
        </is>
      </c>
    </row>
    <row r="32" ht="18" customHeight="1">
      <c r="A32" s="162" t="inlineStr">
        <is>
          <t>Tendência de Rentabilidade</t>
        </is>
      </c>
    </row>
    <row r="33" ht="18" customHeight="1">
      <c r="A33" s="164" t="inlineStr">
        <is>
          <t xml:space="preserve">  •  📈  Vodafone EBITDAaL melhora: H1 FY25 €252M (36.3%) → H1 FY26 €271M (39.5%) = +320bps YoY!</t>
        </is>
      </c>
    </row>
    <row r="34" ht="18" customHeight="1">
      <c r="A34" s="151" t="inlineStr">
        <is>
          <t xml:space="preserve">  •  📈  NOS: EBITDA melhora consistentemente (+250bps H1'24→H1'25).</t>
        </is>
      </c>
    </row>
    <row r="35" ht="18" customHeight="1">
      <c r="A35" s="164" t="inlineStr">
        <is>
          <t xml:space="preserve">  •  📉  MEO: única a ter compressão de margem; evento Q4'24 (25% EBITDA margin) sugere itens especiais.</t>
        </is>
      </c>
    </row>
    <row r="36"/>
    <row r="37" ht="20" customHeight="1">
      <c r="A37" s="161" t="inlineStr">
        <is>
          <t>4.  PERFIL OPERACIONAL VODAFONE PORTUGAL (dados confirmados)</t>
        </is>
      </c>
    </row>
    <row r="38" ht="18" customHeight="1">
      <c r="A38" s="162" t="inlineStr">
        <is>
          <t>Clientes — CY Q1 2024 → CY Q4 2025</t>
        </is>
      </c>
    </row>
    <row r="39" ht="18" customHeight="1">
      <c r="A39" s="163" t="inlineStr">
        <is>
          <t>📱 Mobile (closing)</t>
        </is>
      </c>
      <c r="B39" s="164" t="inlineStr">
        <is>
          <t>4,727k → 4,621k  (-106k, -2.2%)</t>
        </is>
      </c>
      <c r="C39" s="165" t="inlineStr">
        <is>
          <t>Decline consistente; prepaid a perder terreno para contract</t>
        </is>
      </c>
    </row>
    <row r="40" ht="18" customHeight="1">
      <c r="A40" s="146" t="inlineStr">
        <is>
          <t>📈 Contract %</t>
        </is>
      </c>
      <c r="B40" s="151" t="inlineStr">
        <is>
          <t>56.6% → 64.3%  (+7.7pp)</t>
        </is>
      </c>
      <c r="C40" s="154" t="inlineStr">
        <is>
          <t>Forte migração prepaid→contract — melhoria qualidade base</t>
        </is>
      </c>
    </row>
    <row r="41" ht="18" customHeight="1">
      <c r="A41" s="163" t="inlineStr">
        <is>
          <t>🌐 Fixed Broadband</t>
        </is>
      </c>
      <c r="B41" s="164" t="inlineStr">
        <is>
          <t>984k → 1,018k  (+34k, +3.5%)</t>
        </is>
      </c>
      <c r="C41" s="165" t="inlineStr">
        <is>
          <t>Crescimento lento mas consistente</t>
        </is>
      </c>
    </row>
    <row r="42" ht="18" customHeight="1">
      <c r="A42" s="146" t="inlineStr">
        <is>
          <t>📺 TV Subscriptions</t>
        </is>
      </c>
      <c r="B42" s="151" t="inlineStr">
        <is>
          <t>886k → 906k  (+20k, +2.3%)</t>
        </is>
      </c>
      <c r="C42" s="154" t="inlineStr">
        <is>
          <t>Crescimento modesto</t>
        </is>
      </c>
    </row>
    <row r="43" ht="18" customHeight="1">
      <c r="A43" s="163" t="inlineStr">
        <is>
          <t>🔗 Converged customers</t>
        </is>
      </c>
      <c r="B43" s="164" t="inlineStr">
        <is>
          <t>372k → 469k  (+97k, +26%)</t>
        </is>
      </c>
      <c r="C43" s="165" t="inlineStr">
        <is>
          <t>💥 Crescimento FORTE — quad-play como driver de retenção</t>
        </is>
      </c>
    </row>
    <row r="44" ht="18" customHeight="1">
      <c r="A44" s="162" t="inlineStr">
        <is>
          <t>ARPU — Dinâmica Preocupante</t>
        </is>
      </c>
    </row>
    <row r="45" ht="18" customHeight="1">
      <c r="A45" s="163" t="inlineStr">
        <is>
          <t>ARPU Total</t>
        </is>
      </c>
      <c r="B45" s="164" t="inlineStr">
        <is>
          <t>€13.24 → €12.87/mês  (-2.8%)</t>
        </is>
      </c>
      <c r="C45" s="165" t="inlineStr">
        <is>
          <t>Erosão consistente ao longo de 8 trimestres</t>
        </is>
      </c>
    </row>
    <row r="46" ht="18" customHeight="1">
      <c r="A46" s="146" t="inlineStr">
        <is>
          <t>ARPU Contract</t>
        </is>
      </c>
      <c r="B46" s="151" t="inlineStr">
        <is>
          <t>€18.64 → €16.95/mês  (-9.1%)</t>
        </is>
      </c>
      <c r="C46" s="154" t="inlineStr">
        <is>
          <t>Queda acentuada — pressão de pricing/promoções</t>
        </is>
      </c>
    </row>
    <row r="47" ht="18" customHeight="1">
      <c r="A47" s="163" t="inlineStr">
        <is>
          <t>ARPU Prepaid</t>
        </is>
      </c>
      <c r="B47" s="164" t="inlineStr">
        <is>
          <t>€6.48 → €5.78/mês  (-10.8%)</t>
        </is>
      </c>
      <c r="C47" s="165" t="inlineStr">
        <is>
          <t>Declínio no segmento de menor valor</t>
        </is>
      </c>
    </row>
    <row r="48" ht="18" customHeight="1">
      <c r="A48" s="164" t="inlineStr">
        <is>
          <t xml:space="preserve">  •  ⚠️  ARPU declining + customers declining = pressão estrutural de dupla face na revenue.</t>
        </is>
      </c>
    </row>
    <row r="49" ht="18" customHeight="1">
      <c r="A49" s="151" t="inlineStr">
        <is>
          <t xml:space="preserve">  •  ✅  Converged growth (+26%) sugere que bundling é efectivo para retenção e ARPU uplift no longo prazo.</t>
        </is>
      </c>
    </row>
    <row r="50"/>
    <row r="51" ht="20" customHeight="1">
      <c r="A51" s="161" t="inlineStr">
        <is>
          <t>5.  POSICIONAMENTO COMPETITIVO VODAFONE — ANÁLISE SWOT</t>
        </is>
      </c>
    </row>
    <row r="52" ht="18" customHeight="1">
      <c r="A52" s="162" t="inlineStr">
        <is>
          <t>Forças</t>
        </is>
      </c>
    </row>
    <row r="53" ht="18" customHeight="1">
      <c r="A53" s="164" t="inlineStr">
        <is>
          <t xml:space="preserve">  •  💪 EBITDA margin em melhoria (+320bps H1 FY26 vs H1 FY25) — eficiência operacional crescente</t>
        </is>
      </c>
    </row>
    <row r="54" ht="18" customHeight="1">
      <c r="A54" s="151" t="inlineStr">
        <is>
          <t xml:space="preserve">  •  💪 Converged growth +26% — posicionamento convergente ganha tração</t>
        </is>
      </c>
    </row>
    <row r="55" ht="18" customHeight="1">
      <c r="A55" s="164" t="inlineStr">
        <is>
          <t xml:space="preserve">  •  💪 Contract % growing rapidly (56.6%→64.3%) — base de clientes mais qualificada</t>
        </is>
      </c>
    </row>
    <row r="56" ht="18" customHeight="1">
      <c r="A56" s="151" t="inlineStr">
        <is>
          <t xml:space="preserve">  •  💪 CAPEX declining (H1 FY26 €91M vs H1 FY25 €102M) — possível melhoria FCF</t>
        </is>
      </c>
    </row>
    <row r="57" ht="18" customHeight="1">
      <c r="A57" s="162" t="inlineStr">
        <is>
          <t>Fraquezas</t>
        </is>
      </c>
    </row>
    <row r="58" ht="18" customHeight="1">
      <c r="A58" s="164" t="inlineStr">
        <is>
          <t xml:space="preserve">  •  ⚠️  Revenue declining (-0.7% CY25) com mobile customers declining (-2.2%)</t>
        </is>
      </c>
    </row>
    <row r="59" ht="18" customHeight="1">
      <c r="A59" s="151" t="inlineStr">
        <is>
          <t xml:space="preserve">  •  ⚠️  ARPU contract -9.1% — perda de valor por cliente contrato</t>
        </is>
      </c>
    </row>
    <row r="60" ht="18" customHeight="1">
      <c r="A60" s="164" t="inlineStr">
        <is>
          <t xml:space="preserve">  •  ⚠️  Fixed BB crescimento lento vs MEO/NOS — infraestrutura dependente de wholesale</t>
        </is>
      </c>
    </row>
    <row r="61" ht="18" customHeight="1">
      <c r="A61" s="162" t="inlineStr">
        <is>
          <t>Oportunidades &amp; Riscos</t>
        </is>
      </c>
    </row>
    <row r="62" ht="18" customHeight="1">
      <c r="A62" s="164" t="inlineStr">
        <is>
          <t xml:space="preserve">  •  🚀  5G monetização: premium tiers e FWA — janela ainda aberta</t>
        </is>
      </c>
    </row>
    <row r="63" ht="18" customHeight="1">
      <c r="A63" s="151" t="inlineStr">
        <is>
          <t xml:space="preserve">  •  🚀  MEO B2B collapse (-19.6%) = oportunidade enterprise para captura</t>
        </is>
      </c>
    </row>
    <row r="64" ht="18" customHeight="1">
      <c r="A64" s="164" t="inlineStr">
        <is>
          <t xml:space="preserve">  •  ⚠️  Potencial saída/M&amp;A Vodafone Group Europa — risco estrutural de longo prazo</t>
        </is>
      </c>
    </row>
    <row r="65" ht="18" customHeight="1">
      <c r="A65" s="151" t="inlineStr">
        <is>
          <t xml:space="preserve">  •  ⚠️  ARPU pressure: OTT + SIM-only + pricing war = headwind permanente</t>
        </is>
      </c>
    </row>
    <row r="66"/>
    <row r="67" ht="20" customHeight="1">
      <c r="A67" s="161" t="inlineStr">
        <is>
          <t>6.  BENCHMARKS EUROPA</t>
        </is>
      </c>
    </row>
    <row r="68" ht="18" customHeight="1">
      <c r="A68" s="163" t="inlineStr">
        <is>
          <t>EBITDAaL margin (EU MNOs)</t>
        </is>
      </c>
      <c r="B68" s="164" t="inlineStr">
        <is>
          <t>~30-38% típico</t>
        </is>
      </c>
      <c r="C68" s="165" t="inlineStr">
        <is>
          <t>Vodafone PT 36% ✅ — acima média EU para mercados small</t>
        </is>
      </c>
    </row>
    <row r="69" ht="18" customHeight="1">
      <c r="A69" s="146" t="inlineStr">
        <is>
          <t>CAPEX/Revenue (EU)</t>
        </is>
      </c>
      <c r="B69" s="151" t="inlineStr">
        <is>
          <t>~15-20%</t>
        </is>
      </c>
      <c r="C69" s="154" t="inlineStr">
        <is>
          <t>Vodafone PT 18% (CY24) — intensivo mas normal para rollout rede</t>
        </is>
      </c>
    </row>
    <row r="70" ht="18" customHeight="1">
      <c r="A70" s="163" t="inlineStr">
        <is>
          <t>ARPU Móvel PT</t>
        </is>
      </c>
      <c r="B70" s="164" t="inlineStr">
        <is>
          <t>~€12-14/mês</t>
        </is>
      </c>
      <c r="C70" s="165" t="inlineStr">
        <is>
          <t>Abaixo média EU (~€17-22) — upside 5G premium</t>
        </is>
      </c>
    </row>
    <row r="71" ht="18" customHeight="1">
      <c r="A71" s="146" t="inlineStr">
        <is>
          <t>Converged penetration</t>
        </is>
      </c>
      <c r="B71" s="151" t="inlineStr">
        <is>
          <t>~30-40% (EU)</t>
        </is>
      </c>
      <c r="C71" s="154" t="inlineStr">
        <is>
          <t>Vodafone PT: 469k conv / 1018k BB = 46% — acima média EU! ✅</t>
        </is>
      </c>
    </row>
    <row r="72"/>
    <row r="73" ht="24" customHeight="1">
      <c r="A73" s="154" t="inlineStr">
        <is>
          <t>Fontes: Vodafone Group Q3 FY26 Additional Information | NOS SGPS Quarterly Reports | Altice Portugal / Altice Group | ANACOM Q3 2025 | Vodafone Group Q4 FY25 Additional Information</t>
        </is>
      </c>
    </row>
    <row r="75">
      <c r="A75" s="232" t="inlineStr">
        <is>
          <t>7.  ANÁLISE COMPARATIVA OPERACIONAL — Escala, Subscritores &amp; Rentabilidade (CY 2024-25)</t>
        </is>
      </c>
    </row>
    <row r="76">
      <c r="A76" s="233" t="inlineStr">
        <is>
          <t>🟢 Vodafone: dados operacionais confirmados (Vodafone Group Q3 FY26).  🟠 NOS &amp; MEO: estimativas ANACOM (total mercado × quota de assinantes Q3'25 aplicada a série histórica).</t>
        </is>
      </c>
    </row>
    <row r="78">
      <c r="A78" s="234" t="inlineStr">
        <is>
          <t>7a.  Escala de Subscritores — Comparativa Q3 2025</t>
        </is>
      </c>
    </row>
    <row r="79">
      <c r="A79" s="235" t="inlineStr">
        <is>
          <t>Operador</t>
        </is>
      </c>
      <c r="B79" s="235" t="inlineStr">
        <is>
          <t>Mobile ('000)</t>
        </is>
      </c>
      <c r="C79" s="235" t="inlineStr">
        <is>
          <t>TV ('000)</t>
        </is>
      </c>
      <c r="D79" s="235" t="inlineStr">
        <is>
          <t>BB Fixa ('000)</t>
        </is>
      </c>
      <c r="E79" s="235" t="inlineStr">
        <is>
          <t>Quota Receitas</t>
        </is>
      </c>
      <c r="F79" s="235" t="inlineStr">
        <is>
          <t>Revenue CY'25e</t>
        </is>
      </c>
      <c r="G79" s="235" t="inlineStr">
        <is>
          <t>EBITDA CY'25e</t>
        </is>
      </c>
      <c r="H79" s="235" t="inlineStr">
        <is>
          <t>Margem CY'25e</t>
        </is>
      </c>
      <c r="I79" s="235" t="inlineStr">
        <is>
          <t>Fonte KPI</t>
        </is>
      </c>
    </row>
    <row r="80">
      <c r="A80" s="236" t="inlineStr">
        <is>
          <t>MEO (Altice PT)</t>
        </is>
      </c>
      <c r="B80" s="237" t="inlineStr">
        <is>
          <t>~6.662</t>
        </is>
      </c>
      <c r="C80" s="237" t="inlineStr">
        <is>
          <t>~1.824</t>
        </is>
      </c>
      <c r="D80" s="237" t="inlineStr">
        <is>
          <t>~1.769</t>
        </is>
      </c>
      <c r="E80" s="237" t="inlineStr">
        <is>
          <t>37.4%</t>
        </is>
      </c>
      <c r="F80" s="237" t="inlineStr">
        <is>
          <t>€2.738M</t>
        </is>
      </c>
      <c r="G80" s="237" t="inlineStr">
        <is>
          <t>€942M</t>
        </is>
      </c>
      <c r="H80" s="237" t="inlineStr">
        <is>
          <t>34.4%</t>
        </is>
      </c>
      <c r="I80" s="237" t="inlineStr">
        <is>
          <t>🟠 est. ANACOM</t>
        </is>
      </c>
    </row>
    <row r="81">
      <c r="A81" s="238" t="inlineStr">
        <is>
          <t>NOS SGPS</t>
        </is>
      </c>
      <c r="B81" s="239" t="inlineStr">
        <is>
          <t>~5.721</t>
        </is>
      </c>
      <c r="C81" s="239" t="inlineStr">
        <is>
          <t>~1.555</t>
        </is>
      </c>
      <c r="D81" s="239" t="inlineStr">
        <is>
          <t>~1.441</t>
        </is>
      </c>
      <c r="E81" s="239" t="inlineStr">
        <is>
          <t>31.6%</t>
        </is>
      </c>
      <c r="F81" s="239" t="inlineStr">
        <is>
          <t>€1.794M</t>
        </is>
      </c>
      <c r="G81" s="239" t="inlineStr">
        <is>
          <t>€841M</t>
        </is>
      </c>
      <c r="H81" s="239" t="inlineStr">
        <is>
          <t>46.9%</t>
        </is>
      </c>
      <c r="I81" s="239" t="inlineStr">
        <is>
          <t>🟠 est. ANACOM</t>
        </is>
      </c>
    </row>
    <row r="82">
      <c r="A82" s="240" t="inlineStr">
        <is>
          <t>Vodafone PT</t>
        </is>
      </c>
      <c r="B82" s="241" t="inlineStr">
        <is>
          <t>4.666 ✅</t>
        </is>
      </c>
      <c r="C82" s="241" t="inlineStr">
        <is>
          <t>906 ✅</t>
        </is>
      </c>
      <c r="D82" s="241" t="inlineStr">
        <is>
          <t>1.018 ✅ (BB)</t>
        </is>
      </c>
      <c r="E82" s="241" t="inlineStr">
        <is>
          <t>28.5%</t>
        </is>
      </c>
      <c r="F82" s="241" t="inlineStr">
        <is>
          <t>€1.363M</t>
        </is>
      </c>
      <c r="G82" s="241" t="inlineStr">
        <is>
          <t>€524M</t>
        </is>
      </c>
      <c r="H82" s="241" t="inlineStr">
        <is>
          <t>38.4%</t>
        </is>
      </c>
      <c r="I82" s="241" t="inlineStr">
        <is>
          <t>🟢 confirmado</t>
        </is>
      </c>
    </row>
    <row r="83">
      <c r="A83" s="242" t="inlineStr">
        <is>
          <t>TOTAL MERCADO</t>
        </is>
      </c>
      <c r="B83" s="243" t="inlineStr">
        <is>
          <t>~18.454</t>
        </is>
      </c>
      <c r="C83" s="243" t="inlineStr">
        <is>
          <t>~4.343</t>
        </is>
      </c>
      <c r="D83" s="243" t="inlineStr">
        <is>
          <t>~4.315</t>
        </is>
      </c>
      <c r="E83" s="243" t="inlineStr">
        <is>
          <t>~100%</t>
        </is>
      </c>
      <c r="F83" s="243" t="inlineStr">
        <is>
          <t>~€6.0M</t>
        </is>
      </c>
      <c r="G83" s="243" t="inlineStr">
        <is>
          <t>—</t>
        </is>
      </c>
      <c r="H83" s="243" t="inlineStr">
        <is>
          <t>—</t>
        </is>
      </c>
      <c r="I83" s="243" t="inlineStr">
        <is>
          <t>🟡 ANACOM</t>
        </is>
      </c>
    </row>
    <row r="85">
      <c r="A85" s="234" t="inlineStr">
        <is>
          <t>7b.  Dinâmica de Subscritores YoY — CY Q3'25 vs CY Q3'24</t>
        </is>
      </c>
    </row>
    <row r="86">
      <c r="A86" s="235" t="inlineStr">
        <is>
          <t>Operador</t>
        </is>
      </c>
      <c r="B86" s="235" t="inlineStr">
        <is>
          <t>Mobile YoY</t>
        </is>
      </c>
      <c r="C86" s="235" t="inlineStr">
        <is>
          <t>TV YoY</t>
        </is>
      </c>
      <c r="D86" s="235" t="inlineStr">
        <is>
          <t>BB Fixa YoY</t>
        </is>
      </c>
      <c r="E86" s="235" t="inlineStr">
        <is>
          <t>Converged</t>
        </is>
      </c>
      <c r="F86" s="235" t="inlineStr">
        <is>
          <t>Quota YoY</t>
        </is>
      </c>
      <c r="G86" s="235" t="inlineStr">
        <is>
          <t>Observação</t>
        </is>
      </c>
    </row>
    <row r="87">
      <c r="A87" s="236" t="inlineStr">
        <is>
          <t>MEO</t>
        </is>
      </c>
      <c r="B87" s="237" t="inlineStr">
        <is>
          <t>-2.3% 🟠</t>
        </is>
      </c>
      <c r="C87" s="237" t="inlineStr">
        <is>
          <t>+0.4% 🟠</t>
        </is>
      </c>
      <c r="D87" s="237" t="inlineStr">
        <is>
          <t>+1.4% 🟠</t>
        </is>
      </c>
      <c r="E87" s="237" t="inlineStr">
        <is>
          <t>n.d.</t>
        </is>
      </c>
      <c r="F87" s="237" t="inlineStr">
        <is>
          <t>+0.3pp 🟡</t>
        </is>
      </c>
      <c r="G87" s="237" t="inlineStr">
        <is>
          <t>Mobile declina; fixo cresce</t>
        </is>
      </c>
    </row>
    <row r="88">
      <c r="A88" s="238" t="inlineStr">
        <is>
          <t>NOS</t>
        </is>
      </c>
      <c r="B88" s="239" t="inlineStr">
        <is>
          <t>-2.3% 🟠</t>
        </is>
      </c>
      <c r="C88" s="239" t="inlineStr">
        <is>
          <t>+0.5% 🟠</t>
        </is>
      </c>
      <c r="D88" s="239" t="inlineStr">
        <is>
          <t>+2.0% 🟠</t>
        </is>
      </c>
      <c r="E88" s="239" t="inlineStr">
        <is>
          <t>n.d.</t>
        </is>
      </c>
      <c r="F88" s="239" t="inlineStr">
        <is>
          <t>0pp 🟡</t>
        </is>
      </c>
      <c r="G88" s="239" t="inlineStr">
        <is>
          <t>Revenue flat; EBITDA expande +7.8%</t>
        </is>
      </c>
    </row>
    <row r="89">
      <c r="A89" s="240" t="inlineStr">
        <is>
          <t>Vodafone ✅</t>
        </is>
      </c>
      <c r="B89" s="241" t="inlineStr">
        <is>
          <t>-3.6% ✅</t>
        </is>
      </c>
      <c r="C89" s="241" t="inlineStr">
        <is>
          <t>+0.6% ✅</t>
        </is>
      </c>
      <c r="D89" s="241" t="inlineStr">
        <is>
          <t>+3.5% ✅</t>
        </is>
      </c>
      <c r="E89" s="241" t="inlineStr">
        <is>
          <t>+26% ✅ (469k)</t>
        </is>
      </c>
      <c r="F89" s="241" t="inlineStr">
        <is>
          <t>-0.3pp 🟡</t>
        </is>
      </c>
      <c r="G89" s="241" t="inlineStr">
        <is>
          <t>Maior perda mobile; melhor convergência</t>
        </is>
      </c>
    </row>
    <row r="90">
      <c r="A90" s="242" t="inlineStr">
        <is>
          <t>Mercado Total 🟡</t>
        </is>
      </c>
      <c r="B90" s="243" t="inlineStr">
        <is>
          <t>-2.3%</t>
        </is>
      </c>
      <c r="C90" s="243" t="inlineStr">
        <is>
          <t>+0.4%</t>
        </is>
      </c>
      <c r="D90" s="243" t="inlineStr">
        <is>
          <t>+2.0%</t>
        </is>
      </c>
      <c r="E90" s="243" t="inlineStr">
        <is>
          <t>—</t>
        </is>
      </c>
      <c r="F90" s="243" t="inlineStr">
        <is>
          <t>—</t>
        </is>
      </c>
      <c r="G90" s="243" t="inlineStr">
        <is>
          <t>ANACOM Q3 2025</t>
        </is>
      </c>
    </row>
    <row r="92">
      <c r="A92" s="244" t="inlineStr">
        <is>
          <t>7c.  O Paradoxo NOS: Menos Escala, Mais Rentabilidade</t>
        </is>
      </c>
    </row>
    <row r="93">
      <c r="A93" s="245" t="inlineStr">
        <is>
          <t xml:space="preserve">  •  NOS gera €841M EBITDA (46.9% margem) vs MEO €942M (34.4%) — 89% do EBITDA com apenas 85% da receita.</t>
        </is>
      </c>
    </row>
    <row r="94">
      <c r="A94" s="245" t="inlineStr">
        <is>
          <t xml:space="preserve">  •  NOS EBITDA CY'25 cresce +7.8% YoY (€780M→€841M) apesar de revenue flat (-0.1%) — expansão de margem de +340bps.</t>
        </is>
      </c>
    </row>
    <row r="95">
      <c r="A95" s="245" t="inlineStr">
        <is>
          <t xml:space="preserve">  •  Vodafone EBITDAaL CY'25: +7.2% YoY (€489M→€524M) com revenue -0.9% — também em expansão (+280bps).</t>
        </is>
      </c>
    </row>
    <row r="96">
      <c r="A96" s="245" t="inlineStr">
        <is>
          <t xml:space="preserve">  •  MEO: EBITDA declina em absoluto (€983M→€942M, -4.2%) mas margem estável a 34.4% — revenue drop comprime lucros.</t>
        </is>
      </c>
    </row>
    <row r="97">
      <c r="A97" s="245" t="inlineStr">
        <is>
          <t xml:space="preserve">     ⚠️  CAPEX: NOS 25.3% of rev (€453M) — intensivo; proprietária de infraestrutura FTTH.</t>
        </is>
      </c>
    </row>
    <row r="98">
      <c r="A98" s="245" t="inlineStr">
        <is>
          <t xml:space="preserve">     ⚠️  CAPEX: Vodafone 16.5% of rev (€225M, -10% YoY) — modelo asset-lighter; CAPEX declining melhora FCF.</t>
        </is>
      </c>
    </row>
    <row r="100">
      <c r="A100" s="234" t="inlineStr">
        <is>
          <t>7d.  Declínio Móvel: Fenómeno Estrutural de Mercado (não operador-específico)</t>
        </is>
      </c>
    </row>
    <row r="101">
      <c r="A101" s="245" t="inlineStr">
        <is>
          <t xml:space="preserve">  •  Total móvel Portugal: 18.454k (Q3'25) vs 18.881k (Q3'24) = -2.3% YoY — mercado a contrair.</t>
        </is>
      </c>
    </row>
    <row r="102">
      <c r="A102" s="245" t="inlineStr">
        <is>
          <t xml:space="preserve">  •  Todos os 3 operadores perdem clientes móveis: MEO ~-2.3%, NOS ~-2.3%, Vodafone -3.6%.</t>
        </is>
      </c>
    </row>
    <row r="103">
      <c r="A103" s="245" t="inlineStr">
        <is>
          <t xml:space="preserve">  •  Vodafone perde mais em % (-3.6%) mas recupera em qualidade: contract share 56.6%→64.3% (+7.7pp).</t>
        </is>
      </c>
    </row>
    <row r="104">
      <c r="A104" s="245" t="inlineStr">
        <is>
          <t xml:space="preserve">  •  Drivers: penetração acima de 170/100 hab. (saturação), racionalisação SIM duplicados, migração OTT.</t>
        </is>
      </c>
    </row>
    <row r="105">
      <c r="A105" s="245" t="inlineStr">
        <is>
          <t xml:space="preserve">  ✅  Contraponto: mobile data usage Vodafone cresce +31.7% YoY (206k→ 212k TB) — mais dados, menos receita.</t>
        </is>
      </c>
    </row>
    <row r="107">
      <c r="A107" s="234" t="inlineStr">
        <is>
          <t>7e.  Serviços Fixos: Âncora de Crescimento para Todos os Operadores</t>
        </is>
      </c>
    </row>
    <row r="108">
      <c r="A108" s="245" t="inlineStr">
        <is>
          <t xml:space="preserve">  •  BB Fixa cresce ~2% mercado: todos os operadores ganham clientes. Penetração ainda em expansão (44.6/100 hab).</t>
        </is>
      </c>
    </row>
    <row r="109">
      <c r="A109" s="245" t="inlineStr">
        <is>
          <t xml:space="preserve">  •  TV Subscrição cresce ~0.4% mercado (4.343k Q3'25): crescimento lento mas positivo.</t>
        </is>
      </c>
    </row>
    <row r="110">
      <c r="A110" s="245" t="inlineStr">
        <is>
          <t xml:space="preserve">  •  🔑  Vodafone convergência 46% (469k converged / 1.018k BB) — acima média EU (~35-40%) e superior a peers PT estimados.</t>
        </is>
      </c>
    </row>
    <row r="111">
      <c r="A111" s="245" t="inlineStr">
        <is>
          <t xml:space="preserve">  •  Convergência é defesa: clientes convergentes têm menor churn e maior ARPU — estratégia correcta para Vodafone.</t>
        </is>
      </c>
    </row>
    <row r="112">
      <c r="A112" s="245" t="inlineStr">
        <is>
          <t xml:space="preserve">  •  MEO domina TV (42%) e BB (41%) — activo fixo superior defende quota apesar da queda de receita.</t>
        </is>
      </c>
    </row>
    <row r="114">
      <c r="A114" s="232" t="inlineStr">
        <is>
          <t>8.  IMPLICAÇÕES ESTRATÉGICAS ACTUALIZADAS — Com Base nos Dados Adicionados</t>
        </is>
      </c>
    </row>
    <row r="115">
      <c r="A115" s="245" t="inlineStr">
        <is>
          <t>📊  Posição EBITDA: NOS é o operador mais eficiente do mercado (47% margem). Vodafone em recuperação (38%). MEO sofre erosão de lucro apesar de manter quota.</t>
        </is>
      </c>
    </row>
    <row r="116">
      <c r="A116" s="245" t="inlineStr">
        <is>
          <t>🔴  Vodafone: maior percentagem de perda de clientes móveis (-3.6%) sugere pressão de preço/oferta. Mas convergência +26% indica a estratégia de retenção via quad-play está a funcionar.</t>
        </is>
      </c>
    </row>
    <row r="117">
      <c r="A117" s="245" t="inlineStr">
        <is>
          <t>🟢  NOS: operador em melhor posição relativa — revenue flat, EBITDA a crescer, quota estável. B2B a crescer (+4.4% Q3'25). Eficiência operacional superior à concorrência.</t>
        </is>
      </c>
    </row>
    <row r="118">
      <c r="A118" s="245" t="inlineStr">
        <is>
          <t>🟡  MEO: escala dominante (37.4% quota, ~6.7M mobile) mas pressão de rentabilidade. Revenue CY'25 -4.1%. B2B declínio estrutural (~-7%). Necessita revisão modelo B2B.</t>
        </is>
      </c>
    </row>
    <row r="119">
      <c r="A119" s="245" t="inlineStr">
        <is>
          <t>📱→🏠  O mercado PT move-se de mobile (declínio) para fixed+converged (crescimento). Operadores com infraestrutura fixa forte (MEO, NOS) têm vantagem estrutural.</t>
        </is>
      </c>
    </row>
    <row r="120">
      <c r="A120" s="245" t="inlineStr">
        <is>
          <t>💡  5G monetização: premium tiers e FWA são o próximo catalisador para reverter ARPU decline. Vodafone PT: contract ARPU já em queda (-9.1% CY'25) — urgência na diferenciação.</t>
        </is>
      </c>
    </row>
    <row r="122">
      <c r="A122" s="233" t="inlineStr">
        <is>
          <t>Actualizado com operacionais NOS v2 (estimativas ANACOM) e MEO v2 (estimativas ANACOM) | Vodafone dados confirmados Vodafone Group Q3 FY26 | ANACOM Factos &amp; Números 3T2025 | Análise: CY Q1 2024 → CY Q3/Q4 2025</t>
        </is>
      </c>
    </row>
  </sheetData>
  <mergeCells count="95">
    <mergeCell ref="A5:D5"/>
    <mergeCell ref="C6:D6"/>
    <mergeCell ref="A13:D13"/>
    <mergeCell ref="A44:D44"/>
    <mergeCell ref="A115:J115"/>
    <mergeCell ref="A93:J93"/>
    <mergeCell ref="A58:D58"/>
    <mergeCell ref="C41:D41"/>
    <mergeCell ref="A64:D64"/>
    <mergeCell ref="A24:D24"/>
    <mergeCell ref="A73:D73"/>
    <mergeCell ref="A51:D51"/>
    <mergeCell ref="A60:D60"/>
    <mergeCell ref="C43:D43"/>
    <mergeCell ref="A119:J119"/>
    <mergeCell ref="A54:D54"/>
    <mergeCell ref="A16:D16"/>
    <mergeCell ref="A118:J118"/>
    <mergeCell ref="A56:D56"/>
    <mergeCell ref="A27:D27"/>
    <mergeCell ref="A75:J75"/>
    <mergeCell ref="A120:J120"/>
    <mergeCell ref="C19:D19"/>
    <mergeCell ref="A95:J95"/>
    <mergeCell ref="A2:D2"/>
    <mergeCell ref="A33:D33"/>
    <mergeCell ref="A104:J104"/>
    <mergeCell ref="C69:D69"/>
    <mergeCell ref="A17:D17"/>
    <mergeCell ref="C30:D30"/>
    <mergeCell ref="A22:D22"/>
    <mergeCell ref="A53:D53"/>
    <mergeCell ref="A35:D35"/>
    <mergeCell ref="A97:J97"/>
    <mergeCell ref="A62:D62"/>
    <mergeCell ref="C45:D45"/>
    <mergeCell ref="A96:J96"/>
    <mergeCell ref="A28:D28"/>
    <mergeCell ref="C47:D47"/>
    <mergeCell ref="A48:D48"/>
    <mergeCell ref="A59:D59"/>
    <mergeCell ref="C40:D40"/>
    <mergeCell ref="A11:D11"/>
    <mergeCell ref="A61:D61"/>
    <mergeCell ref="A110:J110"/>
    <mergeCell ref="C71:D71"/>
    <mergeCell ref="C8:D8"/>
    <mergeCell ref="A108:J108"/>
    <mergeCell ref="C18:D18"/>
    <mergeCell ref="C68:D68"/>
    <mergeCell ref="A122:J122"/>
    <mergeCell ref="A52:D52"/>
    <mergeCell ref="A63:D63"/>
    <mergeCell ref="A112:J112"/>
    <mergeCell ref="C20:D20"/>
    <mergeCell ref="C29:D29"/>
    <mergeCell ref="A34:D34"/>
    <mergeCell ref="A114:J114"/>
    <mergeCell ref="A49:D49"/>
    <mergeCell ref="C31:D31"/>
    <mergeCell ref="A98:J98"/>
    <mergeCell ref="A107:J107"/>
    <mergeCell ref="A1:D1"/>
    <mergeCell ref="C46:D46"/>
    <mergeCell ref="A65:D65"/>
    <mergeCell ref="C70:D70"/>
    <mergeCell ref="A37:D37"/>
    <mergeCell ref="C7:D7"/>
    <mergeCell ref="A12:D12"/>
    <mergeCell ref="A57:D57"/>
    <mergeCell ref="A101:J101"/>
    <mergeCell ref="A32:D32"/>
    <mergeCell ref="A76:J76"/>
    <mergeCell ref="A14:D14"/>
    <mergeCell ref="A85:J85"/>
    <mergeCell ref="A23:D23"/>
    <mergeCell ref="A116:J116"/>
    <mergeCell ref="A4:D4"/>
    <mergeCell ref="A100:J100"/>
    <mergeCell ref="A38:D38"/>
    <mergeCell ref="C42:D42"/>
    <mergeCell ref="A109:J109"/>
    <mergeCell ref="A102:J102"/>
    <mergeCell ref="A117:J117"/>
    <mergeCell ref="A67:D67"/>
    <mergeCell ref="A111:J111"/>
    <mergeCell ref="A92:J92"/>
    <mergeCell ref="C9:D9"/>
    <mergeCell ref="A94:J94"/>
    <mergeCell ref="A103:J103"/>
    <mergeCell ref="A78:J78"/>
    <mergeCell ref="A25:D25"/>
    <mergeCell ref="C39:D39"/>
    <mergeCell ref="A55:D55"/>
    <mergeCell ref="A105:J10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Joao Baptista Rodrigues Da Costa</dc:creator>
  <dcterms:created xmlns:dcterms="http://purl.org/dc/terms/" xmlns:xsi="http://www.w3.org/2001/XMLSchema-instance" xsi:type="dcterms:W3CDTF">2026-02-05T11:46:05Z</dcterms:created>
  <dcterms:modified xmlns:dcterms="http://purl.org/dc/terms/" xmlns:xsi="http://www.w3.org/2001/XMLSchema-instance" xsi:type="dcterms:W3CDTF">2026-03-24T11:52:43Z</dcterms:modified>
  <cp:lastModifiedBy>Joao Baptista Rodrigues Da Costa</cp:lastModifiedBy>
</cp:coreProperties>
</file>